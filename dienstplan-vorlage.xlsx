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enstplan" sheetId="1" r:id="rId5"/>
    <sheet state="visible" name="Jahr" sheetId="2" r:id="rId6"/>
    <sheet state="visible" name="Monat" sheetId="3" r:id="rId7"/>
  </sheets>
  <definedNames>
    <definedName name="Put_W">Monat!$Z$11</definedName>
    <definedName name="FZC_1">Monat!$AC$18</definedName>
    <definedName name="Gleit_Tag">Monat!$AC$10</definedName>
    <definedName name="Brue_H">Monat!$Z$4</definedName>
    <definedName name="Urlaub_1">Monat!$AC$11</definedName>
    <definedName name="Sekre_1">Monat!$AC$14</definedName>
    <definedName name="Unt_II">Monat!$AC$8</definedName>
    <definedName name="Muster">Monat!$Z$8</definedName>
    <definedName name="NST_1">Monat!$AC$19</definedName>
    <definedName name="Koor_taet">Monat!$AC$13</definedName>
    <definedName name="Rath_M">Monat!$Z$5</definedName>
    <definedName name="Krem_E">Monat!$Z$10</definedName>
    <definedName name="Nacht_1">Monat!$AC$5</definedName>
    <definedName name="Velt_M">Monat!$Z$3</definedName>
    <definedName name="Wuert_A">Monat!$Z$8</definedName>
    <definedName name="Frueh_1">Monat!$AC$3</definedName>
    <definedName name="Normal_1">Monat!$AC$6</definedName>
    <definedName name="Spaet_1">Monat!$AC$4</definedName>
    <definedName name="Sonderd_1">Monat!$AC$9</definedName>
    <definedName name="Fort_b">Monat!$AC$15</definedName>
    <definedName name="Fortenb">Monat!$Z$13</definedName>
    <definedName name="Radi_L">Monat!$Z$12</definedName>
    <definedName name="Scho_K">Monat!$Z$6</definedName>
    <definedName name="EH_Kurs">Monat!$AC$12</definedName>
    <definedName name="Velten_M">Monat!$Z$3</definedName>
    <definedName name="Velten">Monat!$Z$3</definedName>
    <definedName name="Krie_B">Monat!$Z$7</definedName>
    <definedName name="Unt_I">Monat!$AC$7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K7">
      <text>
        <t xml:space="preserve">Geplanter EH-Kurs
</t>
      </text>
    </comment>
    <comment authorId="0" ref="AR7">
      <text>
        <t xml:space="preserve">Geplanter EH-Kurs
</t>
      </text>
    </comment>
    <comment authorId="0" ref="AY7">
      <text>
        <t xml:space="preserve">Geplanter EH-Kurs
</t>
      </text>
    </comment>
    <comment authorId="0" ref="BM7">
      <text>
        <t xml:space="preserve">Geplanter EH-Kurs
</t>
      </text>
    </comment>
    <comment authorId="0" ref="BT7">
      <text>
        <t xml:space="preserve">Geplanter EH-Kurs
</t>
      </text>
    </comment>
    <comment authorId="0" ref="CA7">
      <text>
        <t xml:space="preserve">Geplanter EH-Kurs
</t>
      </text>
    </comment>
    <comment authorId="0" ref="CH7">
      <text>
        <t xml:space="preserve">Geplanter EH-Kurs
</t>
      </text>
    </comment>
    <comment authorId="0" ref="DC7">
      <text>
        <t xml:space="preserve">Geplanter EH-Kurs
</t>
      </text>
    </comment>
    <comment authorId="0" ref="DJ7">
      <text>
        <t xml:space="preserve">Geplanter EH-Kurs
</t>
      </text>
    </comment>
    <comment authorId="0" ref="V8">
      <text>
        <t xml:space="preserve">Wöchentlicher RTW-Check
</t>
      </text>
    </comment>
    <comment authorId="0" ref="AC8">
      <text>
        <t xml:space="preserve">Monatlicher Verfallscheck RTW </t>
      </text>
    </comment>
    <comment authorId="0" ref="AX8">
      <text>
        <t xml:space="preserve">Wöchentlicher RTW-Check
</t>
      </text>
    </comment>
    <comment authorId="0" ref="AY8">
      <text>
        <t xml:space="preserve">Raumbuchung Mufu1 / Schulungsraum GZ 39
</t>
      </text>
    </comment>
    <comment authorId="0" ref="BK8">
      <text>
        <t xml:space="preserve">Rettungsdienstliche Fortbildung in Mannheim</t>
      </text>
    </comment>
    <comment authorId="0" ref="BL8">
      <text>
        <t xml:space="preserve">Rettungsdienstliche Fortbildung in Mannheim</t>
      </text>
    </comment>
    <comment authorId="0" ref="BM8">
      <text>
        <t xml:space="preserve">Rettungsdienstliche Fortbildung in Mannheim</t>
      </text>
    </comment>
    <comment authorId="0" ref="CA8">
      <text>
        <t xml:space="preserve">Raumbuchung Mufu1 / Schulungsraum GZ 39
</t>
      </text>
    </comment>
    <comment authorId="0" ref="CB8">
      <text>
        <t xml:space="preserve">Konzernfortbildung Assistenzpersonal
Haus Lämmerbuckel</t>
      </text>
    </comment>
    <comment authorId="0" ref="CC8">
      <text>
        <t xml:space="preserve">Konzernfortbildung Assistenzpersonal
Haus Lämmerbuckel</t>
      </text>
    </comment>
    <comment authorId="0" ref="I9">
      <text>
        <t xml:space="preserve">Wöchentlicher RTW-Check
</t>
      </text>
    </comment>
    <comment authorId="0" ref="AJ9">
      <text>
        <t xml:space="preserve">Wöchentlicher RTW-Check
</t>
      </text>
    </comment>
    <comment authorId="0" ref="CB9">
      <text>
        <t xml:space="preserve">Konzernfortbildung Assistenzpersonal
Haus Lämmerbuckel</t>
      </text>
    </comment>
    <comment authorId="0" ref="CC9">
      <text>
        <t xml:space="preserve">Konzernfortbildung Assistenzpersonal
Haus Lämmerbuckel</t>
      </text>
    </comment>
    <comment authorId="0" ref="CH9">
      <text>
        <t xml:space="preserve">Raumbuchung Mufu1 / Schulungsraum GZ 39
</t>
      </text>
    </comment>
    <comment authorId="0" ref="BD10">
      <text>
        <t xml:space="preserve">AZ 08:00 - 14:30 Uhr
</t>
      </text>
    </comment>
    <comment authorId="0" ref="BF10">
      <text>
        <t xml:space="preserve">AZ 08:00 - 14:30 Uhr
</t>
      </text>
    </comment>
    <comment authorId="0" ref="BH10">
      <text>
        <t xml:space="preserve">AZ 08:00 - 14:30 Uhr
</t>
      </text>
    </comment>
    <comment authorId="0" ref="BK10">
      <text>
        <t xml:space="preserve">AZ 08:00 - 14:30 Uhr
</t>
      </text>
    </comment>
    <comment authorId="0" ref="BL10">
      <text>
        <t xml:space="preserve">AZ 08:00 - 14:30 Uhr
</t>
      </text>
    </comment>
    <comment authorId="0" ref="BM10">
      <text>
        <t xml:space="preserve">AZ 08:00 - 14:30 Uhr
</t>
      </text>
    </comment>
    <comment authorId="0" ref="BN10">
      <text>
        <t xml:space="preserve">AZ 08:00 - 14:30 Uhr
</t>
      </text>
    </comment>
    <comment authorId="0" ref="BO10">
      <text>
        <t xml:space="preserve">AZ 08:00 - 14:30 Uhr
</t>
      </text>
    </comment>
    <comment authorId="0" ref="BR10">
      <text>
        <t xml:space="preserve">AZ 06:00 - 12:00 Uhr
</t>
      </text>
    </comment>
    <comment authorId="0" ref="BS10">
      <text>
        <t xml:space="preserve">AZ 06:00 - 12:00 Uhr
</t>
      </text>
    </comment>
    <comment authorId="0" ref="BT10">
      <text>
        <t xml:space="preserve">AZ 06:00 - 12:00 Uhr
</t>
      </text>
    </comment>
    <comment authorId="0" ref="BU10">
      <text>
        <t xml:space="preserve">AZ 06:00 - 12:00 Uhr
</t>
      </text>
    </comment>
    <comment authorId="0" ref="BV10">
      <text>
        <t xml:space="preserve">AZ 06:00 - 12:00 Uhr
</t>
      </text>
    </comment>
    <comment authorId="0" ref="BY10">
      <text>
        <t xml:space="preserve">AZ 06:00 - 12:00 Uhr
</t>
      </text>
    </comment>
    <comment authorId="0" ref="BZ10">
      <text>
        <t xml:space="preserve">AZ 06:00 - 12:00 Uhr
</t>
      </text>
    </comment>
    <comment authorId="0" ref="CA10">
      <text>
        <t xml:space="preserve">AZ 06:00 - 12:00 Uhr
</t>
      </text>
    </comment>
    <comment authorId="0" ref="CB10">
      <text>
        <t xml:space="preserve">AZ 06:00 - 12:00 Uhr
</t>
      </text>
    </comment>
    <comment authorId="0" ref="CC10">
      <text>
        <t xml:space="preserve">AZ 06:00 - 12:00 Uhr
</t>
      </text>
    </comment>
    <comment authorId="0" ref="CH10">
      <text>
        <t xml:space="preserve">Monatlicher Verfallscheck: 
- RTW 83/1 u. 83/2
- Ambulanz RA u. KU
- Diag. 1 u. 2
- Physik. Therap.
</t>
      </text>
    </comment>
    <comment authorId="0" ref="D11">
      <text>
        <t xml:space="preserve">Arbeitszeitregelung folgt noch!
</t>
      </text>
    </comment>
    <comment authorId="0" ref="G11">
      <text>
        <t xml:space="preserve">Arbeitszeitregelung folgt noch!
</t>
      </text>
    </comment>
    <comment authorId="0" ref="AK11">
      <text>
        <t xml:space="preserve">Raumbuchung Mufu1 / Schulungsraum GZ 39
</t>
      </text>
    </comment>
    <comment authorId="0" ref="AL11">
      <text>
        <t xml:space="preserve">QM-Themen in UT bei T. Fritz
</t>
      </text>
    </comment>
    <comment authorId="0" ref="AQ11">
      <text>
        <t xml:space="preserve">alle 8 Wochen einzuplanen
</t>
      </text>
    </comment>
    <comment authorId="0" ref="AR11">
      <text>
        <t xml:space="preserve">Raumbuchung Mufu1 / Schulungsraum GZ 39
</t>
      </text>
    </comment>
    <comment authorId="0" ref="BF11">
      <text>
        <t xml:space="preserve">Monatlicher Verfallscheck: 
- RTW 83/1 u. 83/2
- Ambulanz RA u. KU
- Diag. 1 u. 2
- Physik. Therap.
</t>
      </text>
    </comment>
    <comment authorId="0" ref="BG11">
      <text>
        <t xml:space="preserve">Konzernfortbildung Assistenzpersonal
Haus Lämmerbuckel</t>
      </text>
    </comment>
    <comment authorId="0" ref="BH11">
      <text>
        <t xml:space="preserve">Konzernfortbildung Assistenzpersonal
Haus Lämmerbuckel</t>
      </text>
    </comment>
    <comment authorId="0" ref="BM11">
      <text>
        <t xml:space="preserve">Raumbuchung Mufu1 / Schulungsraum GZ 39
</t>
      </text>
    </comment>
    <comment authorId="0" ref="CY11">
      <text>
        <t xml:space="preserve">evtl. Taping Kurs extern
</t>
      </text>
    </comment>
    <comment authorId="0" ref="DA11">
      <text>
        <t xml:space="preserve">Rettungsdienstliche Fortbildung in Mannheim</t>
      </text>
    </comment>
    <comment authorId="0" ref="DB11">
      <text>
        <t xml:space="preserve">Rettungsdienstliche Fortbildung in Mannheim</t>
      </text>
    </comment>
    <comment authorId="0" ref="DC11">
      <text>
        <t xml:space="preserve">Rettungsdienstliche Fortbildung in Mannheim</t>
      </text>
    </comment>
    <comment authorId="0" ref="DJ11">
      <text>
        <t xml:space="preserve">Raumbuchung Mufu1 / Schulungsraum GZ 39
</t>
      </text>
    </comment>
    <comment authorId="0" ref="DL11">
      <text>
        <t xml:space="preserve">Teamevent Paris
</t>
      </text>
    </comment>
    <comment authorId="0" ref="BG12">
      <text>
        <t xml:space="preserve">Konzernfortbildung Assistenzpersonal
Haus Lämmerbuckel</t>
      </text>
    </comment>
    <comment authorId="0" ref="BH12">
      <text>
        <t xml:space="preserve">Konzernfortbildung Assistenzpersonal
Haus Lämmerbuckel</t>
      </text>
    </comment>
    <comment authorId="0" ref="DC12">
      <text>
        <t xml:space="preserve">Raumbuchung Mufu1 / Schulungsraum GZ 39
</t>
      </text>
    </comment>
    <comment authorId="0" ref="FG12">
      <text>
        <t xml:space="preserve">Rettungsdienstliche Fortbildung in Mannheim</t>
      </text>
    </comment>
    <comment authorId="0" ref="FH12">
      <text>
        <t xml:space="preserve">Rettungsdienstliche Fortbildung in Mannheim</t>
      </text>
    </comment>
    <comment authorId="0" ref="FI12">
      <text>
        <t xml:space="preserve">Rettungsdienstliche Fortbildung in Mannheim</t>
      </text>
    </comment>
    <comment authorId="0" ref="O13">
      <text>
        <t xml:space="preserve">Wöchentlicher RTW-Check
</t>
      </text>
    </comment>
    <comment authorId="0" ref="CB13">
      <text>
        <t xml:space="preserve">Konzernfortbildung Assistenzpersonal
Haus Lämmerbuckel</t>
      </text>
    </comment>
    <comment authorId="0" ref="CC13">
      <text>
        <t xml:space="preserve">Konzernfortbildung Assistenzpersonal
Haus Lämmerbuckel</t>
      </text>
    </comment>
    <comment authorId="0" ref="AI14">
      <text>
        <t xml:space="preserve">Putschler, Walter (054):
</t>
      </text>
    </comment>
    <comment authorId="0" ref="AJ14">
      <text>
        <t xml:space="preserve">Wöchentlicher RTW-Check
</t>
      </text>
    </comment>
    <comment authorId="0" ref="AQ14">
      <text>
        <t xml:space="preserve">Wöchentlicher RTW-Check
</t>
      </text>
    </comment>
    <comment authorId="0" ref="AX14">
      <text>
        <t xml:space="preserve">Wöchentlicher RTW-Check
</t>
      </text>
    </comment>
    <comment authorId="0" ref="CB14">
      <text>
        <t xml:space="preserve">Konzernfortbildung Assistenzpersonal
Haus Lämmerbuckel</t>
      </text>
    </comment>
    <comment authorId="0" ref="CC14">
      <text>
        <t xml:space="preserve">Konzernfortbildung Assistenzpersonal
Haus Lämmerbuckel</t>
      </text>
    </comment>
    <comment authorId="0" ref="R15">
      <text>
        <t xml:space="preserve">Kein Dienst
</t>
      </text>
    </comment>
    <comment authorId="0" ref="S15">
      <text>
        <t xml:space="preserve">Kein Dienst
</t>
      </text>
    </comment>
    <comment authorId="0" ref="AK15">
      <text>
        <t xml:space="preserve">Raumbuchung Mufu1 / Schulungsraum GZ 39
</t>
      </text>
    </comment>
    <comment authorId="0" ref="BG15">
      <text>
        <t xml:space="preserve">Konzernfortbildung Assistenzpersonal
Haus Lämmerbuckel</t>
      </text>
    </comment>
    <comment authorId="0" ref="BH15">
      <text>
        <t xml:space="preserve">Konzernfortbildung Assistenzpersonal
Haus Lämmerbuckel</t>
      </text>
    </comment>
    <comment authorId="0" ref="BT15">
      <text>
        <t xml:space="preserve">Raumbuchung Mufu1 / Schulungsraum GZ 39
</t>
      </text>
    </comment>
    <comment authorId="0" ref="CI15">
      <text>
        <t xml:space="preserve">Wunsch vom 08.01.26 --&gt; GT
</t>
      </text>
    </comment>
    <comment authorId="0" ref="DL15">
      <text>
        <t xml:space="preserve">Teamevent Paris
</t>
      </text>
    </comment>
    <comment authorId="0" ref="FG15">
      <text>
        <t xml:space="preserve">Rettungsdienstliche Fortbildung in Mannheim</t>
      </text>
    </comment>
    <comment authorId="0" ref="FH15">
      <text>
        <t xml:space="preserve">Rettungsdienstliche Fortbildung in Mannheim</t>
      </text>
    </comment>
    <comment authorId="0" ref="FI15">
      <text>
        <t xml:space="preserve">Rettungsdienstliche Fortbildung in Mannheim</t>
      </text>
    </comment>
    <comment authorId="0" ref="AI16">
      <text>
        <t xml:space="preserve">- 1. AT Florian Behrendt
</t>
      </text>
    </comment>
    <comment authorId="0" ref="AL16">
      <text>
        <t xml:space="preserve">QM-Themen in UT bei T. Fritz
</t>
      </text>
    </comment>
    <comment authorId="0" ref="AN16">
      <text>
        <t xml:space="preserve">EH - Kurs Emmaus
</t>
      </text>
    </comment>
    <comment authorId="0" ref="AR16">
      <text>
        <t xml:space="preserve">Raumbuchung Mufu1 / Schulungsraum GZ 39
</t>
      </text>
    </comment>
    <comment authorId="0" ref="AS16">
      <text>
        <t xml:space="preserve">priv. T. 
ZA 17:15 Uhr</t>
      </text>
    </comment>
    <comment authorId="0" ref="BD16">
      <text>
        <t xml:space="preserve">13:00 Uhr Teams Austausch mit J. Koch </t>
      </text>
    </comment>
    <comment authorId="0" ref="BG16">
      <text>
        <t xml:space="preserve">Konzernfortbildung Assistenzpersonal
Haus Lämmerbuckel</t>
      </text>
    </comment>
    <comment authorId="0" ref="BH16">
      <text>
        <t xml:space="preserve">Konzernfortbildung Assistenzpersonal
Haus Lämmerbuckel</t>
      </text>
    </comment>
    <comment authorId="0" ref="DA16">
      <text>
        <t xml:space="preserve">Rettungsdienstliche Fortbildung in Mannheim</t>
      </text>
    </comment>
    <comment authorId="0" ref="DB16">
      <text>
        <t xml:space="preserve">Rettungsdienstliche Fortbildung in Mannheim</t>
      </text>
    </comment>
    <comment authorId="0" ref="DC16">
      <text>
        <t xml:space="preserve">Rettungsdienstliche Fortbildung in Mannheim</t>
      </text>
    </comment>
    <comment authorId="0" ref="DL16">
      <text>
        <t xml:space="preserve">Teamevent Paris
</t>
      </text>
    </comment>
    <comment authorId="0" ref="CF17">
      <text>
        <t xml:space="preserve">Einsatz noch fraglich
</t>
      </text>
    </comment>
    <comment authorId="0" ref="CG17">
      <text>
        <t xml:space="preserve">Einsatz noch fraglich
</t>
      </text>
    </comment>
    <comment authorId="0" ref="CH17">
      <text>
        <t xml:space="preserve">Einsatz noch fraglich
</t>
      </text>
    </comment>
    <comment authorId="0" ref="CI17">
      <text>
        <t xml:space="preserve">Einsatz noch fraglich
</t>
      </text>
    </comment>
    <comment authorId="0" ref="CJ17">
      <text>
        <t xml:space="preserve">Einsatz noch fraglich
</t>
      </text>
    </comment>
    <comment authorId="0" ref="DB25">
      <text>
        <t xml:space="preserve">ISO4501
</t>
      </text>
    </comment>
    <comment authorId="0" ref="DC25">
      <text>
        <t xml:space="preserve">ISO4501
</t>
      </text>
    </comment>
    <comment authorId="0" ref="DD25">
      <text>
        <t xml:space="preserve">ISO4501
</t>
      </text>
    </comment>
    <comment authorId="0" ref="DE25">
      <text>
        <t xml:space="preserve">ISO4501
</t>
      </text>
    </comment>
    <comment authorId="0" ref="DF25">
      <text>
        <t xml:space="preserve">ISO4501
</t>
      </text>
    </comment>
    <comment authorId="0" ref="DB27">
      <text>
        <t xml:space="preserve">ISO4501
</t>
      </text>
    </comment>
    <comment authorId="0" ref="DC27">
      <text>
        <t xml:space="preserve">ISO4501
</t>
      </text>
    </comment>
    <comment authorId="0" ref="DD27">
      <text>
        <t xml:space="preserve">ISO4501
</t>
      </text>
    </comment>
    <comment authorId="0" ref="DE27">
      <text>
        <t xml:space="preserve">ISO4501
</t>
      </text>
    </comment>
    <comment authorId="0" ref="DF27">
      <text>
        <t xml:space="preserve">ISO4501
</t>
      </text>
    </comment>
    <comment authorId="0" ref="D28">
      <text>
        <t xml:space="preserve">08:30 - 16:30 Uhr Qualimassnahme</t>
      </text>
    </comment>
    <comment authorId="0" ref="DB28">
      <text>
        <t xml:space="preserve">ISO4501
</t>
      </text>
    </comment>
    <comment authorId="0" ref="DC28">
      <text>
        <t xml:space="preserve">ISO4501
</t>
      </text>
    </comment>
    <comment authorId="0" ref="DD28">
      <text>
        <t xml:space="preserve">ISO4501
</t>
      </text>
    </comment>
    <comment authorId="0" ref="DE28">
      <text>
        <t xml:space="preserve">ISO4501
</t>
      </text>
    </comment>
    <comment authorId="0" ref="DF28">
      <text>
        <t xml:space="preserve">ISO4501
</t>
      </text>
    </comment>
    <comment authorId="0" ref="DB29">
      <text>
        <t xml:space="preserve">ISO4501
</t>
      </text>
    </comment>
    <comment authorId="0" ref="DC29">
      <text>
        <t xml:space="preserve">ISO4501
</t>
      </text>
    </comment>
    <comment authorId="0" ref="DD29">
      <text>
        <t xml:space="preserve">ISO4501
</t>
      </text>
    </comment>
    <comment authorId="0" ref="DE29">
      <text>
        <t xml:space="preserve">ISO4501
</t>
      </text>
    </comment>
    <comment authorId="0" ref="DF29">
      <text>
        <t xml:space="preserve">ISO4501
</t>
      </text>
    </comment>
    <comment authorId="0" ref="CO30">
      <text>
        <t xml:space="preserve">Rettungsdienstliche Fortbildung in Mannheim</t>
      </text>
    </comment>
    <comment authorId="0" ref="CP30">
      <text>
        <t xml:space="preserve">Rettungsdienstliche Fortbildung in Mannheim</t>
      </text>
    </comment>
    <comment authorId="0" ref="CQ30">
      <text>
        <t xml:space="preserve">Rettungsdienstliche Fortbildung in Mannheim</t>
      </text>
    </comment>
    <comment authorId="0" ref="DB30">
      <text>
        <t xml:space="preserve">ISO4501
</t>
      </text>
    </comment>
    <comment authorId="0" ref="DC30">
      <text>
        <t xml:space="preserve">ISO4501
</t>
      </text>
    </comment>
    <comment authorId="0" ref="DD30">
      <text>
        <t xml:space="preserve">ISO4501
</t>
      </text>
    </comment>
    <comment authorId="0" ref="DE30">
      <text>
        <t xml:space="preserve">ISO4501
</t>
      </text>
    </comment>
    <comment authorId="0" ref="DF30">
      <text>
        <t xml:space="preserve">ISO4501
</t>
      </text>
    </comment>
    <comment authorId="0" ref="CO31">
      <text>
        <t xml:space="preserve">Rettungsdienstliche Fortbildung in Mannheim</t>
      </text>
    </comment>
    <comment authorId="0" ref="CP31">
      <text>
        <t xml:space="preserve">Rettungsdienstliche Fortbildung in Mannheim</t>
      </text>
    </comment>
    <comment authorId="0" ref="CQ31">
      <text>
        <t xml:space="preserve">Rettungsdienstliche Fortbildung in Mannheim</t>
      </text>
    </comment>
    <comment authorId="0" ref="DB32">
      <text>
        <t xml:space="preserve">ISO4501
</t>
      </text>
    </comment>
    <comment authorId="0" ref="DC32">
      <text>
        <t xml:space="preserve">ISO4501
</t>
      </text>
    </comment>
    <comment authorId="0" ref="DD32">
      <text>
        <t xml:space="preserve">ISO4501
</t>
      </text>
    </comment>
    <comment authorId="0" ref="DE32">
      <text>
        <t xml:space="preserve">ISO4501
</t>
      </text>
    </comment>
    <comment authorId="0" ref="DF32">
      <text>
        <t xml:space="preserve">ISO4501
</t>
      </text>
    </comment>
    <comment authorId="0" ref="J33">
      <text>
        <t xml:space="preserve">15:45 Uhr priv. T. ZA
</t>
      </text>
    </comment>
    <comment authorId="0" ref="DB33">
      <text>
        <t xml:space="preserve">ISO4501
</t>
      </text>
    </comment>
    <comment authorId="0" ref="DC33">
      <text>
        <t xml:space="preserve">ISO4501
</t>
      </text>
    </comment>
    <comment authorId="0" ref="DD33">
      <text>
        <t xml:space="preserve">ISO4501
</t>
      </text>
    </comment>
    <comment authorId="0" ref="DE33">
      <text>
        <t xml:space="preserve">ISO4501
</t>
      </text>
    </comment>
    <comment authorId="0" ref="DF33">
      <text>
        <t xml:space="preserve">ISO4501
</t>
      </text>
    </comment>
    <comment authorId="0" ref="EB33">
      <text>
        <t xml:space="preserve">EH - Kurs Arche
</t>
      </text>
    </comment>
    <comment authorId="0" ref="CX40">
      <text>
        <t xml:space="preserve">Bezahlter Schichtausgleichstag
</t>
      </text>
    </comment>
    <comment authorId="0" ref="CZ40">
      <text>
        <t xml:space="preserve">OF-Begehung mit S. Smarsly
09:00 - 12:00 Uhr
Treffpunkt Stempeluhr P-Wesen
</t>
      </text>
    </comment>
    <comment authorId="0" ref="CX41">
      <text>
        <t xml:space="preserve">QMB - Treffen 
opt. Termin</t>
      </text>
    </comment>
    <comment authorId="0" ref="CX42">
      <text>
        <t xml:space="preserve">08:00 - 12:00 Uhr Konzernfobi via Skype
</t>
      </text>
    </comment>
    <comment authorId="0" ref="CY42">
      <text>
        <t xml:space="preserve">EH-Ausbilder Fobi bei DRK OV Gernsbach
</t>
      </text>
    </comment>
    <comment authorId="0" ref="CW43">
      <text>
        <t xml:space="preserve">Wöchentlicher RTW-Check
</t>
      </text>
    </comment>
    <comment authorId="0" ref="CX43">
      <text>
        <t xml:space="preserve">Monatlicher Verfallscheck RTW + Unterstützung RTW Desinfektion</t>
      </text>
    </comment>
    <comment authorId="0" ref="CY43">
      <text>
        <t xml:space="preserve">alle 8 Wochen einzuplanen
</t>
      </text>
    </comment>
    <comment authorId="0" ref="CX44">
      <text>
        <t xml:space="preserve">Arbeitsunfähigkeit durch Krankheit
</t>
      </text>
    </comment>
    <comment authorId="0" ref="CX45">
      <text>
        <t xml:space="preserve">KA = Kurzarbeit
</t>
      </text>
    </comment>
    <comment authorId="0" ref="CX46">
      <text>
        <t xml:space="preserve">Raumbuchung Mufu1 / Schulungsraum GZ 39
</t>
      </text>
    </comment>
    <comment authorId="0" ref="CY46">
      <text>
        <t xml:space="preserve">Geplanter EH-Kurs
</t>
      </text>
    </comment>
    <comment authorId="0" ref="CX52">
      <text>
        <t xml:space="preserve">Montageeinsatz Bereich Jessica Moser
</t>
      </text>
    </comment>
    <comment authorId="0" ref="CY52">
      <text>
        <t xml:space="preserve">Montageeinsatz Bereich Jessica Moser
</t>
      </text>
    </comment>
    <comment authorId="0" ref="CV53">
      <text>
        <t xml:space="preserve">Ablösung Andi 03.00 Uhr wegen Einhaltung seiner 11h Ruhezeit;
Teamentwicklung im WATTS
Pforzheimer Str. 67 · 76275 Ettlingen
</t>
      </text>
    </comment>
    <comment authorId="0" ref="CW53">
      <text>
        <t xml:space="preserve">08.00 - 13.30 Uhr FI;
ab 14.00 Uhr Teamentwicklung Ettlingen
</t>
      </text>
    </comment>
    <comment authorId="0" ref="CX53">
      <text>
        <t xml:space="preserve">Teamentwicklung im
WATTS
Pforzheimer Str. 67 · 76275 Ettlingen
</t>
      </text>
    </comment>
  </commentList>
</comments>
</file>

<file path=xl/sharedStrings.xml><?xml version="1.0" encoding="utf-8"?>
<sst xmlns="http://schemas.openxmlformats.org/spreadsheetml/2006/main" count="1799" uniqueCount="169">
  <si>
    <t>Jahr</t>
  </si>
  <si>
    <t>Jan</t>
  </si>
  <si>
    <t>Feb</t>
  </si>
  <si>
    <t>Mrz</t>
  </si>
  <si>
    <t>Apr</t>
  </si>
  <si>
    <t>Mai</t>
  </si>
  <si>
    <t>Jun</t>
  </si>
  <si>
    <t>Weihnachtsferien</t>
  </si>
  <si>
    <t>Faschingsferien</t>
  </si>
  <si>
    <t>Osterferien</t>
  </si>
  <si>
    <t>Pfingstferien</t>
  </si>
  <si>
    <t>KW 1</t>
  </si>
  <si>
    <t>KW 2</t>
  </si>
  <si>
    <t>KW 3</t>
  </si>
  <si>
    <t>KW 4</t>
  </si>
  <si>
    <t>KW 5</t>
  </si>
  <si>
    <t>KW 6</t>
  </si>
  <si>
    <t>KW 7</t>
  </si>
  <si>
    <t>KW 8</t>
  </si>
  <si>
    <t>KW 9</t>
  </si>
  <si>
    <t>KW 10</t>
  </si>
  <si>
    <t>KW 11</t>
  </si>
  <si>
    <t>KW 12</t>
  </si>
  <si>
    <t>KW 13</t>
  </si>
  <si>
    <t>KW 14</t>
  </si>
  <si>
    <t>KW 15</t>
  </si>
  <si>
    <t>KW 16</t>
  </si>
  <si>
    <t>KW 17</t>
  </si>
  <si>
    <t>KW 18</t>
  </si>
  <si>
    <t>KW 19</t>
  </si>
  <si>
    <t>KW 20</t>
  </si>
  <si>
    <t>KW 21</t>
  </si>
  <si>
    <t>KW 22</t>
  </si>
  <si>
    <t>KW 23</t>
  </si>
  <si>
    <t>KW 24</t>
  </si>
  <si>
    <t>KW 25</t>
  </si>
  <si>
    <t>KW 26</t>
  </si>
  <si>
    <t>KW 27</t>
  </si>
  <si>
    <t>Do</t>
  </si>
  <si>
    <t>Fr</t>
  </si>
  <si>
    <t>Sa</t>
  </si>
  <si>
    <t>So</t>
  </si>
  <si>
    <t>Mo</t>
  </si>
  <si>
    <t>Di</t>
  </si>
  <si>
    <t>Mi</t>
  </si>
  <si>
    <t>Breig</t>
  </si>
  <si>
    <r>
      <rPr>
        <rFont val="Arial"/>
        <b/>
        <color theme="1"/>
        <sz val="11.0"/>
      </rPr>
      <t xml:space="preserve">U    </t>
    </r>
    <r>
      <rPr>
        <rFont val="Arial"/>
        <b/>
        <color rgb="FFFF0000"/>
        <sz val="10.0"/>
      </rPr>
      <t>alt</t>
    </r>
  </si>
  <si>
    <r>
      <rPr>
        <rFont val="Arial"/>
        <b/>
        <color theme="1"/>
        <sz val="11.0"/>
      </rPr>
      <t xml:space="preserve">U    </t>
    </r>
    <r>
      <rPr>
        <rFont val="Arial"/>
        <b/>
        <color rgb="FFFF0000"/>
        <sz val="10.0"/>
      </rPr>
      <t>alt</t>
    </r>
  </si>
  <si>
    <t>NI</t>
  </si>
  <si>
    <t>GT</t>
  </si>
  <si>
    <t>SI</t>
  </si>
  <si>
    <t>FII</t>
  </si>
  <si>
    <t>KU</t>
  </si>
  <si>
    <t>DI</t>
  </si>
  <si>
    <t>NST</t>
  </si>
  <si>
    <t>EH</t>
  </si>
  <si>
    <t>FI</t>
  </si>
  <si>
    <t>Fobi</t>
  </si>
  <si>
    <t>U</t>
  </si>
  <si>
    <t>Siebert</t>
  </si>
  <si>
    <r>
      <rPr>
        <rFont val="Arial"/>
        <b/>
        <color theme="1"/>
        <sz val="11.0"/>
      </rPr>
      <t xml:space="preserve">U    </t>
    </r>
    <r>
      <rPr>
        <rFont val="Arial"/>
        <b/>
        <color rgb="FFFF0000"/>
        <sz val="10.0"/>
      </rPr>
      <t>alt</t>
    </r>
  </si>
  <si>
    <t>Jochim</t>
  </si>
  <si>
    <t>(DI) 2h</t>
  </si>
  <si>
    <t>(DII) xh</t>
  </si>
  <si>
    <t>(FI) xh</t>
  </si>
  <si>
    <t>(DI) xh</t>
  </si>
  <si>
    <t>SD</t>
  </si>
  <si>
    <t>Wunsch</t>
  </si>
  <si>
    <t>RTW- Des.</t>
  </si>
  <si>
    <t>Göpfrich</t>
  </si>
  <si>
    <r>
      <rPr>
        <rFont val="Arial"/>
        <b/>
        <color theme="1"/>
        <sz val="11.0"/>
      </rPr>
      <t xml:space="preserve">U    </t>
    </r>
    <r>
      <rPr>
        <rFont val="Arial"/>
        <b/>
        <color rgb="FFFF0000"/>
        <sz val="10.0"/>
      </rPr>
      <t>alt</t>
    </r>
  </si>
  <si>
    <r>
      <rPr>
        <rFont val="Arial"/>
        <b/>
        <color theme="1"/>
        <sz val="11.0"/>
      </rPr>
      <t xml:space="preserve">U    </t>
    </r>
    <r>
      <rPr>
        <rFont val="Arial"/>
        <b/>
        <color rgb="FFFF0000"/>
        <sz val="10.0"/>
      </rPr>
      <t>alt</t>
    </r>
  </si>
  <si>
    <t>Zeller</t>
  </si>
  <si>
    <r>
      <rPr>
        <rFont val="Arial"/>
        <b/>
        <color theme="1"/>
        <sz val="11.0"/>
      </rPr>
      <t xml:space="preserve">U    </t>
    </r>
    <r>
      <rPr>
        <rFont val="Arial"/>
        <b/>
        <color rgb="FFFF0000"/>
        <sz val="10.0"/>
      </rPr>
      <t>alt</t>
    </r>
  </si>
  <si>
    <t>Behrendt</t>
  </si>
  <si>
    <t>1.AT</t>
  </si>
  <si>
    <t>SII</t>
  </si>
  <si>
    <t>Krempl</t>
  </si>
  <si>
    <r>
      <rPr>
        <rFont val="Arial"/>
        <b/>
        <color theme="1"/>
        <sz val="11.0"/>
      </rPr>
      <t xml:space="preserve">U    </t>
    </r>
    <r>
      <rPr>
        <rFont val="Arial"/>
        <b/>
        <color rgb="FFFF0000"/>
        <sz val="10.0"/>
      </rPr>
      <t>alt</t>
    </r>
  </si>
  <si>
    <r>
      <rPr>
        <rFont val="Arial"/>
        <b/>
        <color theme="1"/>
        <sz val="11.0"/>
      </rPr>
      <t xml:space="preserve">U    </t>
    </r>
    <r>
      <rPr>
        <rFont val="Arial"/>
        <b/>
        <color rgb="FFFF0000"/>
        <sz val="10.0"/>
      </rPr>
      <t>alt</t>
    </r>
  </si>
  <si>
    <t>Putschler</t>
  </si>
  <si>
    <r>
      <rPr>
        <rFont val="Arial"/>
        <b/>
        <color theme="1"/>
        <sz val="11.0"/>
      </rPr>
      <t xml:space="preserve">U    </t>
    </r>
    <r>
      <rPr>
        <rFont val="Arial"/>
        <b/>
        <color rgb="FFFF0000"/>
        <sz val="10.0"/>
      </rPr>
      <t>alt</t>
    </r>
  </si>
  <si>
    <r>
      <rPr>
        <rFont val="Arial"/>
        <b/>
        <color theme="1"/>
        <sz val="11.0"/>
      </rPr>
      <t xml:space="preserve">U    </t>
    </r>
    <r>
      <rPr>
        <rFont val="Arial"/>
        <b/>
        <color rgb="FFFF0000"/>
        <sz val="10.0"/>
      </rPr>
      <t>alt</t>
    </r>
  </si>
  <si>
    <t>KT</t>
  </si>
  <si>
    <t>Kunz</t>
  </si>
  <si>
    <t>Schmidt</t>
  </si>
  <si>
    <t>Radimersky</t>
  </si>
  <si>
    <t>Jul</t>
  </si>
  <si>
    <t>Aug</t>
  </si>
  <si>
    <t>Sep</t>
  </si>
  <si>
    <t>Okt</t>
  </si>
  <si>
    <t>Nov</t>
  </si>
  <si>
    <t>Dez</t>
  </si>
  <si>
    <t>Sommerferien</t>
  </si>
  <si>
    <t>Herbstferien</t>
  </si>
  <si>
    <t>KW 28</t>
  </si>
  <si>
    <t>KW 29</t>
  </si>
  <si>
    <t>KW 30</t>
  </si>
  <si>
    <t>KW 31</t>
  </si>
  <si>
    <t>KW 32</t>
  </si>
  <si>
    <t>KW 33</t>
  </si>
  <si>
    <t>KW 34</t>
  </si>
  <si>
    <t>KW 35</t>
  </si>
  <si>
    <t>KW 36</t>
  </si>
  <si>
    <t>KW 37</t>
  </si>
  <si>
    <t>KW 38</t>
  </si>
  <si>
    <t>KW 39</t>
  </si>
  <si>
    <t>KW 40</t>
  </si>
  <si>
    <t>KW 41</t>
  </si>
  <si>
    <t>KW 42</t>
  </si>
  <si>
    <t>KW 43</t>
  </si>
  <si>
    <t>KW 44</t>
  </si>
  <si>
    <t>KW 45</t>
  </si>
  <si>
    <t>KW 46</t>
  </si>
  <si>
    <t>KW 47</t>
  </si>
  <si>
    <t>KW 48</t>
  </si>
  <si>
    <t>KW 49</t>
  </si>
  <si>
    <t>KW 50</t>
  </si>
  <si>
    <t>KW 51</t>
  </si>
  <si>
    <t>KW 52</t>
  </si>
  <si>
    <t>Resturlaub</t>
  </si>
  <si>
    <t>Zusatzurlaub wg. 50+ Nachtschicht</t>
  </si>
  <si>
    <t xml:space="preserve"> </t>
  </si>
  <si>
    <t>FZC 83</t>
  </si>
  <si>
    <t>QM</t>
  </si>
  <si>
    <t>A</t>
  </si>
  <si>
    <t>KA</t>
  </si>
  <si>
    <t>T-ZG</t>
  </si>
  <si>
    <r>
      <rPr>
        <rFont val="Arial"/>
        <color rgb="FFFF0000"/>
        <sz val="10.0"/>
      </rPr>
      <t xml:space="preserve">Sek  </t>
    </r>
    <r>
      <rPr>
        <rFont val="Arial"/>
        <color rgb="FFFF0000"/>
        <sz val="7.0"/>
      </rPr>
      <t>13-16 h</t>
    </r>
  </si>
  <si>
    <t>FI  MO</t>
  </si>
  <si>
    <t>SI  MO</t>
  </si>
  <si>
    <r>
      <rPr>
        <rFont val="Arial"/>
        <b/>
        <color theme="1"/>
        <sz val="10.0"/>
      </rPr>
      <t>NI</t>
    </r>
    <r>
      <rPr>
        <rFont val="Arial"/>
        <b/>
        <color rgb="FFFF0000"/>
        <sz val="10.0"/>
      </rPr>
      <t xml:space="preserve">      TE</t>
    </r>
  </si>
  <si>
    <r>
      <rPr>
        <rFont val="Arial"/>
        <b/>
        <color theme="1"/>
        <sz val="10.0"/>
      </rPr>
      <t>FI</t>
    </r>
    <r>
      <rPr>
        <rFont val="Arial"/>
        <b/>
        <color rgb="FFFF0000"/>
        <sz val="10.0"/>
      </rPr>
      <t xml:space="preserve">      TE</t>
    </r>
  </si>
  <si>
    <t>TE</t>
  </si>
  <si>
    <t>Summe</t>
  </si>
  <si>
    <t>Januar</t>
  </si>
  <si>
    <t>Arbeitstage</t>
  </si>
  <si>
    <t>Samstage</t>
  </si>
  <si>
    <t>Mitarbeiter</t>
  </si>
  <si>
    <t>IRTAZ</t>
  </si>
  <si>
    <t>Std. ZEM</t>
  </si>
  <si>
    <t>Schichten</t>
  </si>
  <si>
    <t>Zeit</t>
  </si>
  <si>
    <t>Urlaub in Std.</t>
  </si>
  <si>
    <t>Soll AZ</t>
  </si>
  <si>
    <t>Ist AZ</t>
  </si>
  <si>
    <t>Differenz</t>
  </si>
  <si>
    <t>Gesamt</t>
  </si>
  <si>
    <t>DII</t>
  </si>
  <si>
    <t>Sek</t>
  </si>
  <si>
    <t>Kur</t>
  </si>
  <si>
    <t>Februar</t>
  </si>
  <si>
    <t>FZC</t>
  </si>
  <si>
    <t>Arbeitszeit Jahr Soll Ist alle MA</t>
  </si>
  <si>
    <t>Soll</t>
  </si>
  <si>
    <t>Ist</t>
  </si>
  <si>
    <t>Diff. + Urlaub</t>
  </si>
  <si>
    <t xml:space="preserve">Soll AZ </t>
  </si>
  <si>
    <t>IRTAZ mal Arbeitstage</t>
  </si>
  <si>
    <t>erforderliche AZ laut Dienstplan</t>
  </si>
  <si>
    <t>März</t>
  </si>
  <si>
    <t>April</t>
  </si>
  <si>
    <t>Juni</t>
  </si>
  <si>
    <t>Juli</t>
  </si>
  <si>
    <t>August</t>
  </si>
  <si>
    <t>September</t>
  </si>
  <si>
    <t>Oktober</t>
  </si>
  <si>
    <t>November</t>
  </si>
  <si>
    <t>Dezember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</si>
</sst>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Calibri"/>
      <scheme val="minor"/>
    </font>
    <font>
      <sz val="10.0"/>
      <color theme="1"/>
      <name val="Arial"/>
    </font>
    <font>
      <sz val="12.0"/>
      <color theme="1"/>
      <name val="Arial"/>
    </font>
    <font>
      <sz val="26.0"/>
      <color theme="1"/>
      <name val="Arial"/>
    </font>
    <font/>
    <font>
      <b/>
      <sz val="12.0"/>
      <color theme="1"/>
      <name val="Arial"/>
    </font>
    <font>
      <b/>
      <sz val="16.0"/>
      <color theme="1"/>
      <name val="Arial"/>
    </font>
    <font>
      <b/>
      <sz val="11.0"/>
      <color theme="1"/>
      <name val="Arial"/>
    </font>
    <font>
      <b/>
      <sz val="14.0"/>
      <color theme="1"/>
      <name val="Arial"/>
    </font>
    <font>
      <b/>
      <sz val="20.0"/>
      <color rgb="FF993300"/>
      <name val="Arial"/>
    </font>
    <font>
      <sz val="10.0"/>
      <color rgb="FFFF0000"/>
      <name val="Arial"/>
    </font>
    <font>
      <b/>
      <sz val="22.0"/>
      <color rgb="FF993300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b/>
      <sz val="20.0"/>
      <color rgb="FFC00000"/>
      <name val="Arial"/>
    </font>
    <font>
      <b/>
      <sz val="11.0"/>
      <color rgb="FFFF0000"/>
      <name val="Arial"/>
    </font>
    <font>
      <b/>
      <sz val="12.0"/>
      <color rgb="FFFF0000"/>
      <name val="Arial"/>
    </font>
    <font>
      <b/>
      <sz val="9.0"/>
      <color rgb="FFFF0000"/>
      <name val="Arial"/>
    </font>
    <font>
      <b/>
      <sz val="14.0"/>
      <color rgb="FFC00000"/>
      <name val="Arial"/>
    </font>
    <font>
      <b/>
      <sz val="18.0"/>
      <color rgb="FFC00000"/>
      <name val="Arial"/>
    </font>
    <font>
      <b/>
      <sz val="18.0"/>
      <color theme="1"/>
      <name val="Arial"/>
    </font>
    <font>
      <b/>
      <sz val="22.0"/>
      <color rgb="FFC00000"/>
      <name val="Calibri"/>
    </font>
    <font>
      <sz val="11.0"/>
      <color theme="1"/>
      <name val="Arial"/>
    </font>
    <font>
      <sz val="8.0"/>
      <color rgb="FFFF0000"/>
      <name val="Arial"/>
    </font>
    <font>
      <sz val="9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sz val="10.0"/>
      <color rgb="FF3366FF"/>
      <name val="Arial"/>
    </font>
    <font>
      <b/>
      <sz val="8.0"/>
      <color rgb="FFFF0000"/>
      <name val="Arial"/>
    </font>
    <font>
      <color theme="1"/>
      <name val="Calibri"/>
      <scheme val="minor"/>
    </font>
    <font>
      <i/>
      <sz val="10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C611"/>
        <bgColor rgb="FFFFC611"/>
      </patternFill>
    </fill>
    <fill>
      <patternFill patternType="solid">
        <fgColor rgb="FF99CCFF"/>
        <bgColor rgb="FF99CCFF"/>
      </patternFill>
    </fill>
    <fill>
      <patternFill patternType="solid">
        <fgColor rgb="FFFF0000"/>
        <bgColor rgb="FFFF0000"/>
      </patternFill>
    </fill>
    <fill>
      <patternFill patternType="solid">
        <fgColor rgb="FF66FFFF"/>
        <bgColor rgb="FF66FFFF"/>
      </patternFill>
    </fill>
    <fill>
      <patternFill patternType="solid">
        <fgColor rgb="FFFABF8F"/>
        <bgColor rgb="FFFABF8F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8DB3E2"/>
        <bgColor rgb="FF8DB3E2"/>
      </patternFill>
    </fill>
    <fill>
      <patternFill patternType="solid">
        <fgColor rgb="FFBFBFBF"/>
        <bgColor rgb="FFBFBFBF"/>
      </patternFill>
    </fill>
    <fill>
      <patternFill patternType="solid">
        <fgColor rgb="FFD6E3BC"/>
        <bgColor rgb="FFD6E3BC"/>
      </patternFill>
    </fill>
    <fill>
      <patternFill patternType="solid">
        <fgColor rgb="FF000000"/>
        <bgColor rgb="FF000000"/>
      </patternFill>
    </fill>
    <fill>
      <patternFill patternType="solid">
        <fgColor rgb="FFC0C0C0"/>
        <bgColor rgb="FFC0C0C0"/>
      </patternFill>
    </fill>
  </fills>
  <borders count="118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  <bottom/>
    </border>
    <border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/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/>
    </border>
    <border>
      <right style="medium">
        <color rgb="FF000000"/>
      </right>
    </border>
    <border>
      <bottom style="double">
        <color rgb="FF000000"/>
      </bottom>
    </border>
    <border>
      <left style="medium">
        <color rgb="FF000000"/>
      </left>
      <right style="medium">
        <color rgb="FF000000"/>
      </right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double">
        <color rgb="FF000000"/>
      </right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right style="double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vertical="center"/>
    </xf>
    <xf borderId="3" fillId="2" fontId="1" numFmtId="0" xfId="0" applyAlignment="1" applyBorder="1" applyFont="1">
      <alignment vertical="center"/>
    </xf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3" fontId="1" numFmtId="0" xfId="0" applyAlignment="1" applyBorder="1" applyFont="1">
      <alignment vertical="center"/>
    </xf>
    <xf borderId="9" fillId="3" fontId="1" numFmtId="0" xfId="0" applyAlignment="1" applyBorder="1" applyFont="1">
      <alignment vertical="center"/>
    </xf>
    <xf borderId="8" fillId="3" fontId="2" numFmtId="0" xfId="0" applyAlignment="1" applyBorder="1" applyFont="1">
      <alignment horizontal="center" vertical="center"/>
    </xf>
    <xf borderId="4" fillId="4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0" fillId="5" fontId="3" numFmtId="17" xfId="0" applyAlignment="1" applyBorder="1" applyFill="1" applyFont="1" applyNumberFormat="1">
      <alignment horizontal="center" vertical="center"/>
    </xf>
    <xf borderId="10" fillId="5" fontId="1" numFmtId="0" xfId="0" applyAlignment="1" applyBorder="1" applyFont="1">
      <alignment vertical="center"/>
    </xf>
    <xf borderId="9" fillId="5" fontId="1" numFmtId="0" xfId="0" applyAlignment="1" applyBorder="1" applyFont="1">
      <alignment vertical="center"/>
    </xf>
    <xf borderId="11" fillId="5" fontId="3" numFmtId="0" xfId="0" applyAlignment="1" applyBorder="1" applyFont="1">
      <alignment horizontal="right" vertical="center"/>
    </xf>
    <xf borderId="12" fillId="0" fontId="4" numFmtId="0" xfId="0" applyBorder="1" applyFont="1"/>
    <xf borderId="13" fillId="0" fontId="4" numFmtId="0" xfId="0" applyBorder="1" applyFont="1"/>
    <xf borderId="11" fillId="5" fontId="3" numFmtId="0" xfId="0" applyAlignment="1" applyBorder="1" applyFont="1">
      <alignment horizontal="left" vertical="center"/>
    </xf>
    <xf borderId="9" fillId="5" fontId="3" numFmtId="0" xfId="0" applyAlignment="1" applyBorder="1" applyFont="1">
      <alignment vertical="center"/>
    </xf>
    <xf borderId="14" fillId="5" fontId="1" numFmtId="0" xfId="0" applyAlignment="1" applyBorder="1" applyFont="1">
      <alignment vertical="center"/>
    </xf>
    <xf borderId="10" fillId="5" fontId="3" numFmtId="17" xfId="0" applyAlignment="1" applyBorder="1" applyFont="1" applyNumberFormat="1">
      <alignment vertical="center"/>
    </xf>
    <xf borderId="9" fillId="5" fontId="3" numFmtId="17" xfId="0" applyAlignment="1" applyBorder="1" applyFont="1" applyNumberFormat="1">
      <alignment vertical="center"/>
    </xf>
    <xf borderId="11" fillId="5" fontId="3" numFmtId="17" xfId="0" applyAlignment="1" applyBorder="1" applyFont="1" applyNumberFormat="1">
      <alignment horizontal="right" vertical="center"/>
    </xf>
    <xf borderId="14" fillId="5" fontId="3" numFmtId="17" xfId="0" applyAlignment="1" applyBorder="1" applyFont="1" applyNumberFormat="1">
      <alignment vertical="center"/>
    </xf>
    <xf borderId="10" fillId="5" fontId="3" numFmtId="0" xfId="0" applyAlignment="1" applyBorder="1" applyFont="1">
      <alignment vertical="center"/>
    </xf>
    <xf borderId="14" fillId="5" fontId="3" numFmtId="0" xfId="0" applyAlignment="1" applyBorder="1" applyFont="1">
      <alignment vertical="center"/>
    </xf>
    <xf borderId="15" fillId="4" fontId="3" numFmtId="17" xfId="0" applyAlignment="1" applyBorder="1" applyFont="1" applyNumberFormat="1">
      <alignment vertical="center"/>
    </xf>
    <xf borderId="1" fillId="4" fontId="1" numFmtId="0" xfId="0" applyAlignment="1" applyBorder="1" applyFont="1">
      <alignment vertical="center"/>
    </xf>
    <xf borderId="4" fillId="3" fontId="1" numFmtId="0" xfId="0" applyAlignment="1" applyBorder="1" applyFont="1">
      <alignment horizontal="center" vertical="center"/>
    </xf>
    <xf borderId="16" fillId="6" fontId="5" numFmtId="0" xfId="0" applyAlignment="1" applyBorder="1" applyFill="1" applyFon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1" fillId="3" fontId="5" numFmtId="0" xfId="0" applyAlignment="1" applyBorder="1" applyFont="1">
      <alignment vertical="center"/>
    </xf>
    <xf borderId="19" fillId="3" fontId="5" numFmtId="0" xfId="0" applyAlignment="1" applyBorder="1" applyFont="1">
      <alignment vertical="center"/>
    </xf>
    <xf borderId="20" fillId="3" fontId="5" numFmtId="0" xfId="0" applyAlignment="1" applyBorder="1" applyFont="1">
      <alignment vertical="center"/>
    </xf>
    <xf borderId="21" fillId="6" fontId="5" numFmtId="0" xfId="0" applyAlignment="1" applyBorder="1" applyFont="1">
      <alignment horizontal="center" vertical="center"/>
    </xf>
    <xf borderId="22" fillId="0" fontId="4" numFmtId="0" xfId="0" applyBorder="1" applyFont="1"/>
    <xf borderId="23" fillId="0" fontId="4" numFmtId="0" xfId="0" applyBorder="1" applyFont="1"/>
    <xf borderId="1" fillId="7" fontId="5" numFmtId="0" xfId="0" applyAlignment="1" applyBorder="1" applyFill="1" applyFont="1">
      <alignment vertical="center"/>
    </xf>
    <xf borderId="20" fillId="7" fontId="5" numFmtId="0" xfId="0" applyAlignment="1" applyBorder="1" applyFont="1">
      <alignment vertical="center"/>
    </xf>
    <xf borderId="15" fillId="4" fontId="5" numFmtId="0" xfId="0" applyAlignment="1" applyBorder="1" applyFont="1">
      <alignment vertical="center"/>
    </xf>
    <xf borderId="10" fillId="3" fontId="1" numFmtId="0" xfId="0" applyAlignment="1" applyBorder="1" applyFont="1">
      <alignment horizontal="center" vertical="center"/>
    </xf>
    <xf borderId="24" fillId="3" fontId="5" numFmtId="0" xfId="0" applyAlignment="1" applyBorder="1" applyFont="1">
      <alignment horizontal="center" vertical="center"/>
    </xf>
    <xf borderId="25" fillId="0" fontId="4" numFmtId="0" xfId="0" applyBorder="1" applyFont="1"/>
    <xf borderId="26" fillId="0" fontId="4" numFmtId="0" xfId="0" applyBorder="1" applyFont="1"/>
    <xf borderId="1" fillId="4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27" fillId="8" fontId="6" numFmtId="17" xfId="0" applyAlignment="1" applyBorder="1" applyFill="1" applyFont="1" applyNumberFormat="1">
      <alignment horizontal="center" vertical="center"/>
    </xf>
    <xf borderId="28" fillId="8" fontId="7" numFmtId="0" xfId="0" applyAlignment="1" applyBorder="1" applyFont="1">
      <alignment horizontal="center" vertical="center"/>
    </xf>
    <xf borderId="29" fillId="8" fontId="7" numFmtId="0" xfId="0" applyAlignment="1" applyBorder="1" applyFont="1">
      <alignment horizontal="center" vertical="center"/>
    </xf>
    <xf borderId="30" fillId="8" fontId="7" numFmtId="0" xfId="0" applyAlignment="1" applyBorder="1" applyFont="1">
      <alignment horizontal="center" vertical="center"/>
    </xf>
    <xf borderId="31" fillId="8" fontId="7" numFmtId="0" xfId="0" applyAlignment="1" applyBorder="1" applyFont="1">
      <alignment horizontal="center" vertical="center"/>
    </xf>
    <xf borderId="32" fillId="8" fontId="7" numFmtId="0" xfId="0" applyAlignment="1" applyBorder="1" applyFont="1">
      <alignment horizontal="center" vertical="center"/>
    </xf>
    <xf borderId="33" fillId="8" fontId="7" numFmtId="0" xfId="0" applyAlignment="1" applyBorder="1" applyFont="1">
      <alignment horizontal="center" vertical="center"/>
    </xf>
    <xf borderId="34" fillId="8" fontId="7" numFmtId="0" xfId="0" applyAlignment="1" applyBorder="1" applyFont="1">
      <alignment horizontal="center" vertical="center"/>
    </xf>
    <xf borderId="35" fillId="8" fontId="7" numFmtId="0" xfId="0" applyAlignment="1" applyBorder="1" applyFont="1">
      <alignment horizontal="center" vertical="center"/>
    </xf>
    <xf borderId="15" fillId="4" fontId="7" numFmtId="0" xfId="0" applyAlignment="1" applyBorder="1" applyFont="1">
      <alignment horizontal="center" vertical="center"/>
    </xf>
    <xf borderId="36" fillId="8" fontId="8" numFmtId="0" xfId="0" applyAlignment="1" applyBorder="1" applyFont="1">
      <alignment horizontal="center" vertical="center"/>
    </xf>
    <xf borderId="37" fillId="8" fontId="7" numFmtId="0" xfId="0" applyAlignment="1" applyBorder="1" applyFont="1">
      <alignment horizontal="center" vertical="center"/>
    </xf>
    <xf borderId="38" fillId="8" fontId="7" numFmtId="0" xfId="0" applyAlignment="1" applyBorder="1" applyFont="1">
      <alignment horizontal="center" vertical="center"/>
    </xf>
    <xf borderId="38" fillId="9" fontId="7" numFmtId="0" xfId="0" applyAlignment="1" applyBorder="1" applyFill="1" applyFont="1">
      <alignment horizontal="center" vertical="center"/>
    </xf>
    <xf borderId="38" fillId="10" fontId="7" numFmtId="0" xfId="0" applyAlignment="1" applyBorder="1" applyFill="1" applyFont="1">
      <alignment horizontal="center" vertical="center"/>
    </xf>
    <xf borderId="37" fillId="9" fontId="7" numFmtId="0" xfId="0" applyAlignment="1" applyBorder="1" applyFont="1">
      <alignment horizontal="center" vertical="center"/>
    </xf>
    <xf borderId="39" fillId="8" fontId="7" numFmtId="0" xfId="0" applyAlignment="1" applyBorder="1" applyFont="1">
      <alignment horizontal="center" vertical="center"/>
    </xf>
    <xf borderId="40" fillId="8" fontId="8" numFmtId="0" xfId="0" applyAlignment="1" applyBorder="1" applyFont="1">
      <alignment horizontal="center" vertical="center"/>
    </xf>
    <xf borderId="41" fillId="3" fontId="9" numFmtId="0" xfId="0" applyAlignment="1" applyBorder="1" applyFont="1">
      <alignment horizontal="center" textRotation="90" vertical="center"/>
    </xf>
    <xf borderId="42" fillId="6" fontId="7" numFmtId="0" xfId="0" applyAlignment="1" applyBorder="1" applyFont="1">
      <alignment horizontal="center" shrinkToFit="0" vertical="center" wrapText="1"/>
    </xf>
    <xf borderId="43" fillId="5" fontId="10" numFmtId="0" xfId="0" applyAlignment="1" applyBorder="1" applyFont="1">
      <alignment horizontal="center"/>
    </xf>
    <xf borderId="44" fillId="3" fontId="11" numFmtId="0" xfId="0" applyAlignment="1" applyBorder="1" applyFont="1">
      <alignment horizontal="center" textRotation="90" vertical="center"/>
    </xf>
    <xf borderId="32" fillId="0" fontId="12" numFmtId="0" xfId="0" applyAlignment="1" applyBorder="1" applyFont="1">
      <alignment horizontal="center" vertical="center"/>
    </xf>
    <xf borderId="45" fillId="0" fontId="10" numFmtId="0" xfId="0" applyAlignment="1" applyBorder="1" applyFont="1">
      <alignment horizontal="center" vertical="center"/>
    </xf>
    <xf borderId="32" fillId="4" fontId="1" numFmtId="0" xfId="0" applyAlignment="1" applyBorder="1" applyFont="1">
      <alignment horizontal="center" vertical="center"/>
    </xf>
    <xf borderId="34" fillId="4" fontId="1" numFmtId="0" xfId="0" applyAlignment="1" applyBorder="1" applyFont="1">
      <alignment horizontal="center" vertical="center"/>
    </xf>
    <xf borderId="32" fillId="11" fontId="1" numFmtId="0" xfId="0" applyAlignment="1" applyBorder="1" applyFill="1" applyFont="1">
      <alignment horizontal="center" vertical="center"/>
    </xf>
    <xf borderId="34" fillId="12" fontId="1" numFmtId="0" xfId="0" applyAlignment="1" applyBorder="1" applyFill="1" applyFont="1">
      <alignment horizontal="center" vertical="center"/>
    </xf>
    <xf borderId="32" fillId="11" fontId="13" numFmtId="0" xfId="0" applyAlignment="1" applyBorder="1" applyFont="1">
      <alignment horizontal="center" vertical="center"/>
    </xf>
    <xf borderId="43" fillId="4" fontId="1" numFmtId="0" xfId="0" applyAlignment="1" applyBorder="1" applyFont="1">
      <alignment horizontal="center" vertical="center"/>
    </xf>
    <xf borderId="32" fillId="3" fontId="10" numFmtId="0" xfId="0" applyAlignment="1" applyBorder="1" applyFont="1">
      <alignment horizontal="center" vertical="center"/>
    </xf>
    <xf borderId="34" fillId="10" fontId="13" numFmtId="0" xfId="0" applyAlignment="1" applyBorder="1" applyFont="1">
      <alignment horizontal="center" shrinkToFit="0" vertical="center" wrapText="1"/>
    </xf>
    <xf borderId="32" fillId="13" fontId="13" numFmtId="0" xfId="0" applyAlignment="1" applyBorder="1" applyFill="1" applyFont="1">
      <alignment horizontal="center" vertical="center"/>
    </xf>
    <xf borderId="43" fillId="4" fontId="10" numFmtId="0" xfId="0" applyAlignment="1" applyBorder="1" applyFont="1">
      <alignment horizontal="center"/>
    </xf>
    <xf borderId="44" fillId="5" fontId="14" numFmtId="0" xfId="0" applyAlignment="1" applyBorder="1" applyFont="1">
      <alignment horizontal="center" textRotation="90" vertical="center"/>
    </xf>
    <xf borderId="32" fillId="5" fontId="14" numFmtId="0" xfId="0" applyAlignment="1" applyBorder="1" applyFont="1">
      <alignment textRotation="90" vertical="center"/>
    </xf>
    <xf borderId="44" fillId="5" fontId="1" numFmtId="0" xfId="0" applyAlignment="1" applyBorder="1" applyFont="1">
      <alignment horizontal="center" vertical="center"/>
    </xf>
    <xf borderId="32" fillId="4" fontId="12" numFmtId="0" xfId="0" applyAlignment="1" applyBorder="1" applyFont="1">
      <alignment horizontal="center" vertical="center"/>
    </xf>
    <xf borderId="42" fillId="6" fontId="7" numFmtId="0" xfId="0" applyAlignment="1" applyBorder="1" applyFont="1">
      <alignment horizontal="center" vertical="center"/>
    </xf>
    <xf borderId="42" fillId="4" fontId="15" numFmtId="0" xfId="0" applyAlignment="1" applyBorder="1" applyFont="1">
      <alignment horizontal="center" vertical="center"/>
    </xf>
    <xf borderId="42" fillId="4" fontId="13" numFmtId="0" xfId="0" applyAlignment="1" applyBorder="1" applyFont="1">
      <alignment horizontal="center" shrinkToFit="0" vertical="center" wrapText="1"/>
    </xf>
    <xf borderId="32" fillId="4" fontId="13" numFmtId="0" xfId="0" applyAlignment="1" applyBorder="1" applyFont="1">
      <alignment horizontal="center" vertical="center"/>
    </xf>
    <xf borderId="15" fillId="4" fontId="10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46" fillId="8" fontId="8" numFmtId="0" xfId="0" applyAlignment="1" applyBorder="1" applyFont="1">
      <alignment horizontal="center" vertical="center"/>
    </xf>
    <xf borderId="47" fillId="0" fontId="4" numFmtId="0" xfId="0" applyBorder="1" applyFont="1"/>
    <xf borderId="48" fillId="0" fontId="4" numFmtId="0" xfId="0" applyBorder="1" applyFont="1"/>
    <xf borderId="34" fillId="9" fontId="12" numFmtId="0" xfId="0" applyAlignment="1" applyBorder="1" applyFont="1">
      <alignment horizontal="center" vertical="center"/>
    </xf>
    <xf borderId="32" fillId="9" fontId="12" numFmtId="0" xfId="0" applyAlignment="1" applyBorder="1" applyFont="1">
      <alignment horizontal="center" vertical="center"/>
    </xf>
    <xf borderId="34" fillId="4" fontId="16" numFmtId="0" xfId="0" applyAlignment="1" applyBorder="1" applyFont="1">
      <alignment horizontal="center" vertical="center"/>
    </xf>
    <xf borderId="32" fillId="4" fontId="1" numFmtId="0" xfId="0" applyAlignment="1" applyBorder="1" applyFont="1">
      <alignment horizontal="center" shrinkToFit="0" vertical="center" wrapText="1"/>
    </xf>
    <xf borderId="42" fillId="4" fontId="7" numFmtId="0" xfId="0" applyAlignment="1" applyBorder="1" applyFont="1">
      <alignment horizontal="center" vertical="center"/>
    </xf>
    <xf borderId="34" fillId="14" fontId="1" numFmtId="0" xfId="0" applyAlignment="1" applyBorder="1" applyFill="1" applyFont="1">
      <alignment horizontal="center" vertical="center"/>
    </xf>
    <xf borderId="43" fillId="13" fontId="13" numFmtId="0" xfId="0" applyAlignment="1" applyBorder="1" applyFont="1">
      <alignment horizontal="center" shrinkToFit="0" vertical="center" wrapText="1"/>
    </xf>
    <xf borderId="32" fillId="13" fontId="1" numFmtId="0" xfId="0" applyAlignment="1" applyBorder="1" applyFont="1">
      <alignment horizontal="center" vertical="center"/>
    </xf>
    <xf borderId="32" fillId="11" fontId="17" numFmtId="0" xfId="0" applyAlignment="1" applyBorder="1" applyFont="1">
      <alignment horizontal="center" shrinkToFit="0" vertical="center" wrapText="1"/>
    </xf>
    <xf borderId="32" fillId="5" fontId="10" numFmtId="0" xfId="0" applyAlignment="1" applyBorder="1" applyFont="1">
      <alignment horizontal="center"/>
    </xf>
    <xf borderId="34" fillId="3" fontId="10" numFmtId="0" xfId="0" applyAlignment="1" applyBorder="1" applyFont="1">
      <alignment horizontal="center" vertical="center"/>
    </xf>
    <xf borderId="43" fillId="13" fontId="10" numFmtId="0" xfId="0" applyAlignment="1" applyBorder="1" applyFont="1">
      <alignment horizontal="center"/>
    </xf>
    <xf borderId="34" fillId="13" fontId="10" numFmtId="0" xfId="0" applyAlignment="1" applyBorder="1" applyFont="1">
      <alignment horizontal="center" vertical="center"/>
    </xf>
    <xf borderId="32" fillId="4" fontId="10" numFmtId="0" xfId="0" applyAlignment="1" applyBorder="1" applyFont="1">
      <alignment horizontal="center" vertical="center"/>
    </xf>
    <xf borderId="45" fillId="0" fontId="12" numFmtId="0" xfId="0" applyAlignment="1" applyBorder="1" applyFont="1">
      <alignment horizontal="center" vertical="center"/>
    </xf>
    <xf borderId="20" fillId="4" fontId="10" numFmtId="0" xfId="0" applyAlignment="1" applyBorder="1" applyFont="1">
      <alignment horizontal="center"/>
    </xf>
    <xf borderId="42" fillId="4" fontId="10" numFmtId="0" xfId="0" applyAlignment="1" applyBorder="1" applyFont="1">
      <alignment horizontal="center"/>
    </xf>
    <xf borderId="15" fillId="4" fontId="12" numFmtId="0" xfId="0" applyAlignment="1" applyBorder="1" applyFont="1">
      <alignment horizontal="center" vertical="center"/>
    </xf>
    <xf borderId="43" fillId="13" fontId="13" numFmtId="0" xfId="0" applyAlignment="1" applyBorder="1" applyFont="1">
      <alignment horizontal="center" vertical="center"/>
    </xf>
    <xf borderId="32" fillId="4" fontId="10" numFmtId="0" xfId="0" applyAlignment="1" applyBorder="1" applyFont="1">
      <alignment horizontal="center"/>
    </xf>
    <xf borderId="43" fillId="13" fontId="10" numFmtId="0" xfId="0" applyAlignment="1" applyBorder="1" applyFont="1">
      <alignment horizontal="center" vertical="center"/>
    </xf>
    <xf borderId="34" fillId="4" fontId="10" numFmtId="0" xfId="0" applyAlignment="1" applyBorder="1" applyFont="1">
      <alignment horizontal="center" vertical="center"/>
    </xf>
    <xf borderId="34" fillId="4" fontId="13" numFmtId="0" xfId="0" applyAlignment="1" applyBorder="1" applyFont="1">
      <alignment horizontal="center" shrinkToFit="0" vertical="center" wrapText="1"/>
    </xf>
    <xf borderId="32" fillId="4" fontId="13" numFmtId="0" xfId="0" applyAlignment="1" applyBorder="1" applyFont="1">
      <alignment horizontal="center" shrinkToFit="0" vertical="center" wrapText="1"/>
    </xf>
    <xf borderId="49" fillId="8" fontId="8" numFmtId="0" xfId="0" applyAlignment="1" applyBorder="1" applyFont="1">
      <alignment horizontal="center" vertical="center"/>
    </xf>
    <xf borderId="50" fillId="6" fontId="7" numFmtId="0" xfId="0" applyAlignment="1" applyBorder="1" applyFont="1">
      <alignment horizontal="center" shrinkToFit="0" vertical="center" wrapText="1"/>
    </xf>
    <xf borderId="51" fillId="5" fontId="10" numFmtId="0" xfId="0" applyAlignment="1" applyBorder="1" applyFont="1">
      <alignment horizontal="center"/>
    </xf>
    <xf borderId="52" fillId="5" fontId="10" numFmtId="0" xfId="0" applyAlignment="1" applyBorder="1" applyFont="1">
      <alignment horizontal="center"/>
    </xf>
    <xf borderId="52" fillId="6" fontId="7" numFmtId="0" xfId="0" applyAlignment="1" applyBorder="1" applyFont="1">
      <alignment horizontal="center" shrinkToFit="0" vertical="center" wrapText="1"/>
    </xf>
    <xf borderId="51" fillId="4" fontId="1" numFmtId="0" xfId="0" applyAlignment="1" applyBorder="1" applyFont="1">
      <alignment horizontal="center" vertical="center"/>
    </xf>
    <xf borderId="51" fillId="6" fontId="7" numFmtId="0" xfId="0" applyAlignment="1" applyBorder="1" applyFont="1">
      <alignment horizontal="center" vertical="center"/>
    </xf>
    <xf borderId="51" fillId="13" fontId="1" numFmtId="0" xfId="0" applyAlignment="1" applyBorder="1" applyFont="1">
      <alignment horizontal="center" vertical="center"/>
    </xf>
    <xf borderId="52" fillId="13" fontId="10" numFmtId="0" xfId="0" applyAlignment="1" applyBorder="1" applyFont="1">
      <alignment horizontal="center"/>
    </xf>
    <xf borderId="51" fillId="10" fontId="13" numFmtId="0" xfId="0" applyAlignment="1" applyBorder="1" applyFont="1">
      <alignment horizontal="center" shrinkToFit="0" vertical="center" wrapText="1"/>
    </xf>
    <xf borderId="51" fillId="13" fontId="13" numFmtId="0" xfId="0" applyAlignment="1" applyBorder="1" applyFont="1">
      <alignment horizontal="center" vertical="center"/>
    </xf>
    <xf borderId="52" fillId="4" fontId="10" numFmtId="0" xfId="0" applyAlignment="1" applyBorder="1" applyFont="1">
      <alignment horizontal="center"/>
    </xf>
    <xf borderId="51" fillId="4" fontId="10" numFmtId="0" xfId="0" applyAlignment="1" applyBorder="1" applyFont="1">
      <alignment horizontal="center" vertical="center"/>
    </xf>
    <xf borderId="51" fillId="5" fontId="14" numFmtId="0" xfId="0" applyAlignment="1" applyBorder="1" applyFont="1">
      <alignment textRotation="90" vertical="center"/>
    </xf>
    <xf borderId="51" fillId="13" fontId="10" numFmtId="0" xfId="0" applyAlignment="1" applyBorder="1" applyFont="1">
      <alignment horizontal="center" vertical="center"/>
    </xf>
    <xf borderId="51" fillId="4" fontId="7" numFmtId="0" xfId="0" applyAlignment="1" applyBorder="1" applyFont="1">
      <alignment horizontal="center" vertical="center"/>
    </xf>
    <xf borderId="52" fillId="4" fontId="7" numFmtId="0" xfId="0" applyAlignment="1" applyBorder="1" applyFont="1">
      <alignment horizontal="center" vertical="center"/>
    </xf>
    <xf borderId="51" fillId="4" fontId="10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center"/>
    </xf>
    <xf borderId="53" fillId="8" fontId="8" numFmtId="0" xfId="0" applyAlignment="1" applyBorder="1" applyFont="1">
      <alignment horizontal="center" vertical="center"/>
    </xf>
    <xf borderId="34" fillId="5" fontId="14" numFmtId="0" xfId="0" applyAlignment="1" applyBorder="1" applyFont="1">
      <alignment textRotation="90" vertical="center"/>
    </xf>
    <xf borderId="34" fillId="5" fontId="10" numFmtId="0" xfId="0" applyAlignment="1" applyBorder="1" applyFont="1">
      <alignment horizontal="center"/>
    </xf>
    <xf borderId="54" fillId="12" fontId="8" numFmtId="0" xfId="0" applyAlignment="1" applyBorder="1" applyFont="1">
      <alignment horizontal="center" vertical="center"/>
    </xf>
    <xf borderId="29" fillId="4" fontId="7" numFmtId="0" xfId="0" applyAlignment="1" applyBorder="1" applyFont="1">
      <alignment horizontal="center" shrinkToFit="0" vertical="center" wrapText="1"/>
    </xf>
    <xf borderId="29" fillId="4" fontId="10" numFmtId="0" xfId="0" applyAlignment="1" applyBorder="1" applyFont="1">
      <alignment horizontal="center"/>
    </xf>
    <xf borderId="28" fillId="4" fontId="7" numFmtId="0" xfId="0" applyAlignment="1" applyBorder="1" applyFont="1">
      <alignment horizontal="center" vertical="center"/>
    </xf>
    <xf borderId="30" fillId="4" fontId="1" numFmtId="0" xfId="0" applyAlignment="1" applyBorder="1" applyFont="1">
      <alignment horizontal="center" vertical="center"/>
    </xf>
    <xf borderId="29" fillId="5" fontId="10" numFmtId="0" xfId="0" applyAlignment="1" applyBorder="1" applyFont="1">
      <alignment horizontal="center"/>
    </xf>
    <xf borderId="1" fillId="12" fontId="8" numFmtId="0" xfId="0" applyAlignment="1" applyBorder="1" applyFont="1">
      <alignment horizontal="center" vertical="center"/>
    </xf>
    <xf borderId="55" fillId="0" fontId="4" numFmtId="0" xfId="0" applyBorder="1" applyFont="1"/>
    <xf borderId="32" fillId="4" fontId="7" numFmtId="0" xfId="0" applyAlignment="1" applyBorder="1" applyFont="1">
      <alignment horizontal="center" shrinkToFit="0" vertical="center" wrapText="1"/>
    </xf>
    <xf borderId="45" fillId="0" fontId="4" numFmtId="0" xfId="0" applyBorder="1" applyFont="1"/>
    <xf borderId="32" fillId="4" fontId="7" numFmtId="0" xfId="0" applyAlignment="1" applyBorder="1" applyFont="1">
      <alignment horizontal="center" vertical="center"/>
    </xf>
    <xf borderId="56" fillId="0" fontId="4" numFmtId="0" xfId="0" applyBorder="1" applyFont="1"/>
    <xf borderId="57" fillId="0" fontId="4" numFmtId="0" xfId="0" applyBorder="1" applyFont="1"/>
    <xf borderId="39" fillId="4" fontId="1" numFmtId="0" xfId="0" applyAlignment="1" applyBorder="1" applyFont="1">
      <alignment horizontal="center" vertical="center"/>
    </xf>
    <xf borderId="39" fillId="4" fontId="7" numFmtId="0" xfId="0" applyAlignment="1" applyBorder="1" applyFont="1">
      <alignment horizontal="center" vertical="center"/>
    </xf>
    <xf borderId="39" fillId="4" fontId="10" numFmtId="0" xfId="0" applyAlignment="1" applyBorder="1" applyFont="1">
      <alignment horizontal="center"/>
    </xf>
    <xf borderId="39" fillId="4" fontId="10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/>
    </xf>
    <xf borderId="58" fillId="5" fontId="3" numFmtId="17" xfId="0" applyAlignment="1" applyBorder="1" applyFont="1" applyNumberFormat="1">
      <alignment horizontal="center" vertical="center"/>
    </xf>
    <xf borderId="58" fillId="5" fontId="3" numFmtId="0" xfId="0" applyAlignment="1" applyBorder="1" applyFont="1">
      <alignment vertical="center"/>
    </xf>
    <xf borderId="2" fillId="5" fontId="3" numFmtId="0" xfId="0" applyAlignment="1" applyBorder="1" applyFont="1">
      <alignment vertical="center"/>
    </xf>
    <xf borderId="59" fillId="5" fontId="3" numFmtId="0" xfId="0" applyAlignment="1" applyBorder="1" applyFont="1">
      <alignment horizontal="right" vertical="center"/>
    </xf>
    <xf borderId="60" fillId="0" fontId="4" numFmtId="0" xfId="0" applyBorder="1" applyFont="1"/>
    <xf borderId="61" fillId="0" fontId="4" numFmtId="0" xfId="0" applyBorder="1" applyFont="1"/>
    <xf borderId="59" fillId="5" fontId="3" numFmtId="0" xfId="0" applyAlignment="1" applyBorder="1" applyFont="1">
      <alignment horizontal="left" vertical="center"/>
    </xf>
    <xf borderId="62" fillId="5" fontId="3" numFmtId="0" xfId="0" applyAlignment="1" applyBorder="1" applyFont="1">
      <alignment vertical="center"/>
    </xf>
    <xf borderId="2" fillId="5" fontId="3" numFmtId="17" xfId="0" applyAlignment="1" applyBorder="1" applyFont="1" applyNumberFormat="1">
      <alignment vertical="center"/>
    </xf>
    <xf borderId="62" fillId="5" fontId="3" numFmtId="17" xfId="0" applyAlignment="1" applyBorder="1" applyFont="1" applyNumberFormat="1">
      <alignment vertical="center"/>
    </xf>
    <xf borderId="35" fillId="5" fontId="3" numFmtId="0" xfId="0" applyAlignment="1" applyBorder="1" applyFont="1">
      <alignment vertical="center"/>
    </xf>
    <xf borderId="63" fillId="5" fontId="1" numFmtId="0" xfId="0" applyAlignment="1" applyBorder="1" applyFont="1">
      <alignment vertical="center"/>
    </xf>
    <xf borderId="63" fillId="5" fontId="3" numFmtId="0" xfId="0" applyAlignment="1" applyBorder="1" applyFont="1">
      <alignment vertical="center"/>
    </xf>
    <xf borderId="64" fillId="5" fontId="3" numFmtId="0" xfId="0" applyAlignment="1" applyBorder="1" applyFont="1">
      <alignment horizontal="right" vertical="center"/>
    </xf>
    <xf borderId="65" fillId="0" fontId="4" numFmtId="0" xfId="0" applyBorder="1" applyFont="1"/>
    <xf borderId="64" fillId="5" fontId="3" numFmtId="0" xfId="0" applyAlignment="1" applyBorder="1" applyFont="1">
      <alignment horizontal="left" vertical="center"/>
    </xf>
    <xf borderId="42" fillId="5" fontId="3" numFmtId="0" xfId="0" applyAlignment="1" applyBorder="1" applyFont="1">
      <alignment vertical="center"/>
    </xf>
    <xf borderId="1" fillId="2" fontId="2" numFmtId="0" xfId="0" applyAlignment="1" applyBorder="1" applyFont="1">
      <alignment vertical="center"/>
    </xf>
    <xf borderId="46" fillId="3" fontId="5" numFmtId="0" xfId="0" applyAlignment="1" applyBorder="1" applyFont="1">
      <alignment vertical="center"/>
    </xf>
    <xf borderId="66" fillId="3" fontId="5" numFmtId="0" xfId="0" applyAlignment="1" applyBorder="1" applyFont="1">
      <alignment horizontal="center" vertical="center"/>
    </xf>
    <xf borderId="1" fillId="3" fontId="2" numFmtId="0" xfId="0" applyAlignment="1" applyBorder="1" applyFont="1">
      <alignment vertical="center"/>
    </xf>
    <xf borderId="24" fillId="6" fontId="5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4" fontId="2" numFmtId="0" xfId="0" applyAlignment="1" applyBorder="1" applyFont="1">
      <alignment vertical="center"/>
    </xf>
    <xf borderId="15" fillId="3" fontId="2" numFmtId="0" xfId="0" applyAlignment="1" applyBorder="1" applyFont="1">
      <alignment horizontal="center" vertical="center"/>
    </xf>
    <xf borderId="27" fillId="8" fontId="6" numFmtId="0" xfId="0" applyAlignment="1" applyBorder="1" applyFont="1">
      <alignment horizontal="center" vertical="center"/>
    </xf>
    <xf borderId="43" fillId="8" fontId="7" numFmtId="0" xfId="0" applyAlignment="1" applyBorder="1" applyFont="1">
      <alignment horizontal="center" vertical="center"/>
    </xf>
    <xf borderId="67" fillId="8" fontId="7" numFmtId="0" xfId="0" applyAlignment="1" applyBorder="1" applyFont="1">
      <alignment horizontal="center" vertical="center"/>
    </xf>
    <xf borderId="32" fillId="8" fontId="12" numFmtId="0" xfId="0" applyAlignment="1" applyBorder="1" applyFont="1">
      <alignment horizontal="center" vertical="center"/>
    </xf>
    <xf borderId="36" fillId="8" fontId="6" numFmtId="0" xfId="0" applyAlignment="1" applyBorder="1" applyFont="1">
      <alignment horizontal="center" vertical="center"/>
    </xf>
    <xf borderId="68" fillId="15" fontId="5" numFmtId="0" xfId="0" applyAlignment="1" applyBorder="1" applyFill="1" applyFont="1">
      <alignment horizontal="center" vertical="center"/>
    </xf>
    <xf borderId="69" fillId="0" fontId="4" numFmtId="0" xfId="0" applyBorder="1" applyFont="1"/>
    <xf borderId="44" fillId="5" fontId="18" numFmtId="0" xfId="0" applyAlignment="1" applyBorder="1" applyFont="1">
      <alignment textRotation="90" vertical="center"/>
    </xf>
    <xf borderId="44" fillId="5" fontId="19" numFmtId="0" xfId="0" applyAlignment="1" applyBorder="1" applyFont="1">
      <alignment textRotation="90" vertical="center"/>
    </xf>
    <xf borderId="34" fillId="4" fontId="13" numFmtId="0" xfId="0" applyAlignment="1" applyBorder="1" applyFont="1">
      <alignment horizontal="center" vertical="center"/>
    </xf>
    <xf borderId="70" fillId="5" fontId="14" numFmtId="0" xfId="0" applyAlignment="1" applyBorder="1" applyFont="1">
      <alignment horizontal="center" textRotation="90" vertical="center"/>
    </xf>
    <xf borderId="71" fillId="0" fontId="1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72" fillId="0" fontId="4" numFmtId="0" xfId="0" applyBorder="1" applyFont="1"/>
    <xf borderId="1" fillId="16" fontId="5" numFmtId="0" xfId="0" applyAlignment="1" applyBorder="1" applyFill="1" applyFont="1">
      <alignment horizontal="center" vertical="center"/>
    </xf>
    <xf borderId="42" fillId="5" fontId="10" numFmtId="0" xfId="0" applyAlignment="1" applyBorder="1" applyFont="1">
      <alignment horizontal="center"/>
    </xf>
    <xf borderId="43" fillId="4" fontId="13" numFmtId="0" xfId="0" applyAlignment="1" applyBorder="1" applyFont="1">
      <alignment horizontal="center" vertical="center"/>
    </xf>
    <xf borderId="32" fillId="6" fontId="7" numFmtId="0" xfId="0" applyAlignment="1" applyBorder="1" applyFont="1">
      <alignment horizontal="center" vertical="center"/>
    </xf>
    <xf borderId="50" fillId="4" fontId="1" numFmtId="0" xfId="0" applyAlignment="1" applyBorder="1" applyFont="1">
      <alignment horizontal="center" vertical="center"/>
    </xf>
    <xf borderId="51" fillId="4" fontId="15" numFmtId="0" xfId="0" applyAlignment="1" applyBorder="1" applyFont="1">
      <alignment horizontal="center" vertical="center"/>
    </xf>
    <xf borderId="51" fillId="4" fontId="13" numFmtId="0" xfId="0" applyAlignment="1" applyBorder="1" applyFont="1">
      <alignment horizontal="center" shrinkToFit="0" vertical="center" wrapText="1"/>
    </xf>
    <xf borderId="52" fillId="6" fontId="7" numFmtId="0" xfId="0" applyAlignment="1" applyBorder="1" applyFont="1">
      <alignment horizontal="center" vertical="center"/>
    </xf>
    <xf borderId="51" fillId="4" fontId="1" numFmtId="0" xfId="0" applyAlignment="1" applyBorder="1" applyFont="1">
      <alignment horizontal="center" shrinkToFit="0" vertical="center" wrapText="1"/>
    </xf>
    <xf borderId="73" fillId="6" fontId="7" numFmtId="0" xfId="0" applyAlignment="1" applyBorder="1" applyFont="1">
      <alignment horizontal="center" vertical="center"/>
    </xf>
    <xf borderId="34" fillId="4" fontId="10" numFmtId="0" xfId="0" applyAlignment="1" applyBorder="1" applyFont="1">
      <alignment horizontal="center"/>
    </xf>
    <xf borderId="74" fillId="5" fontId="10" numFmtId="0" xfId="0" applyAlignment="1" applyBorder="1" applyFont="1">
      <alignment horizontal="center"/>
    </xf>
    <xf borderId="75" fillId="4" fontId="10" numFmtId="0" xfId="0" applyAlignment="1" applyBorder="1" applyFont="1">
      <alignment horizontal="center"/>
    </xf>
    <xf borderId="43" fillId="4" fontId="7" numFmtId="0" xfId="0" applyAlignment="1" applyBorder="1" applyFont="1">
      <alignment horizontal="center" vertical="center"/>
    </xf>
    <xf borderId="38" fillId="4" fontId="10" numFmtId="0" xfId="0" applyAlignment="1" applyBorder="1" applyFont="1">
      <alignment horizontal="center"/>
    </xf>
    <xf borderId="37" fillId="4" fontId="12" numFmtId="0" xfId="0" applyAlignment="1" applyBorder="1" applyFont="1">
      <alignment horizontal="center" vertical="center"/>
    </xf>
    <xf borderId="37" fillId="4" fontId="1" numFmtId="0" xfId="0" applyAlignment="1" applyBorder="1" applyFont="1">
      <alignment horizontal="center" vertical="center"/>
    </xf>
    <xf borderId="37" fillId="4" fontId="10" numFmtId="0" xfId="0" applyAlignment="1" applyBorder="1" applyFont="1">
      <alignment horizontal="center" vertical="center"/>
    </xf>
    <xf borderId="37" fillId="4" fontId="10" numFmtId="0" xfId="0" applyAlignment="1" applyBorder="1" applyFont="1">
      <alignment horizontal="center"/>
    </xf>
    <xf borderId="38" fillId="4" fontId="7" numFmtId="0" xfId="0" applyAlignment="1" applyBorder="1" applyFont="1">
      <alignment horizontal="center" vertical="center"/>
    </xf>
    <xf borderId="38" fillId="5" fontId="10" numFmtId="0" xfId="0" applyAlignment="1" applyBorder="1" applyFont="1">
      <alignment horizontal="center"/>
    </xf>
    <xf borderId="76" fillId="0" fontId="4" numFmtId="0" xfId="0" applyBorder="1" applyFont="1"/>
    <xf borderId="4" fillId="2" fontId="1" numFmtId="0" xfId="0" applyAlignment="1" applyBorder="1" applyFont="1">
      <alignment vertical="center"/>
    </xf>
    <xf borderId="10" fillId="3" fontId="3" numFmtId="17" xfId="0" applyAlignment="1" applyBorder="1" applyFont="1" applyNumberFormat="1">
      <alignment horizontal="center" vertical="center"/>
    </xf>
    <xf borderId="58" fillId="3" fontId="3" numFmtId="0" xfId="0" applyAlignment="1" applyBorder="1" applyFont="1">
      <alignment vertical="center"/>
    </xf>
    <xf borderId="2" fillId="3" fontId="3" numFmtId="0" xfId="0" applyAlignment="1" applyBorder="1" applyFont="1">
      <alignment vertical="center"/>
    </xf>
    <xf borderId="59" fillId="3" fontId="3" numFmtId="0" xfId="0" applyAlignment="1" applyBorder="1" applyFont="1">
      <alignment horizontal="right" vertical="center"/>
    </xf>
    <xf borderId="59" fillId="3" fontId="3" numFmtId="0" xfId="0" applyAlignment="1" applyBorder="1" applyFont="1">
      <alignment horizontal="left" vertical="center"/>
    </xf>
    <xf borderId="62" fillId="3" fontId="3" numFmtId="0" xfId="0" applyAlignment="1" applyBorder="1" applyFont="1">
      <alignment vertical="center"/>
    </xf>
    <xf borderId="59" fillId="3" fontId="3" numFmtId="17" xfId="0" applyAlignment="1" applyBorder="1" applyFont="1" applyNumberFormat="1">
      <alignment horizontal="right" vertical="center"/>
    </xf>
    <xf borderId="1" fillId="4" fontId="13" numFmtId="0" xfId="0" applyAlignment="1" applyBorder="1" applyFont="1">
      <alignment horizontal="center" vertical="center"/>
    </xf>
    <xf borderId="1" fillId="4" fontId="12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5" fillId="2" fontId="2" numFmtId="0" xfId="0" applyAlignment="1" applyBorder="1" applyFont="1">
      <alignment vertical="center"/>
    </xf>
    <xf borderId="77" fillId="3" fontId="5" numFmtId="0" xfId="0" applyAlignment="1" applyBorder="1" applyFont="1">
      <alignment horizontal="center" vertical="center"/>
    </xf>
    <xf borderId="66" fillId="6" fontId="5" numFmtId="0" xfId="0" applyAlignment="1" applyBorder="1" applyFont="1">
      <alignment horizontal="center" vertical="center"/>
    </xf>
    <xf borderId="8" fillId="3" fontId="5" numFmtId="0" xfId="0" applyAlignment="1" applyBorder="1" applyFont="1">
      <alignment vertical="center"/>
    </xf>
    <xf borderId="78" fillId="3" fontId="5" numFmtId="0" xfId="0" applyAlignment="1" applyBorder="1" applyFont="1">
      <alignment horizontal="center" vertical="center"/>
    </xf>
    <xf borderId="15" fillId="3" fontId="5" numFmtId="0" xfId="0" applyAlignment="1" applyBorder="1" applyFont="1">
      <alignment horizontal="center" vertical="center"/>
    </xf>
    <xf borderId="15" fillId="2" fontId="1" numFmtId="0" xfId="0" applyAlignment="1" applyBorder="1" applyFont="1">
      <alignment vertical="center"/>
    </xf>
    <xf borderId="79" fillId="8" fontId="20" numFmtId="17" xfId="0" applyAlignment="1" applyBorder="1" applyFont="1" applyNumberFormat="1">
      <alignment horizontal="center" vertical="center"/>
    </xf>
    <xf borderId="42" fillId="8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42" fillId="5" fontId="13" numFmtId="0" xfId="0" applyAlignment="1" applyBorder="1" applyFont="1">
      <alignment horizontal="center" shrinkToFit="0" vertical="center" wrapText="1"/>
    </xf>
    <xf borderId="37" fillId="13" fontId="1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80" fillId="3" fontId="21" numFmtId="0" xfId="0" applyAlignment="1" applyBorder="1" applyFont="1">
      <alignment horizontal="center" textRotation="90" vertical="center"/>
    </xf>
    <xf borderId="43" fillId="4" fontId="15" numFmtId="0" xfId="0" applyAlignment="1" applyBorder="1" applyFont="1">
      <alignment horizontal="center" vertical="center"/>
    </xf>
    <xf borderId="32" fillId="13" fontId="13" numFmtId="0" xfId="0" applyAlignment="1" applyBorder="1" applyFont="1">
      <alignment horizontal="center"/>
    </xf>
    <xf borderId="81" fillId="0" fontId="4" numFmtId="0" xfId="0" applyBorder="1" applyFont="1"/>
    <xf borderId="42" fillId="9" fontId="7" numFmtId="0" xfId="0" applyAlignment="1" applyBorder="1" applyFont="1">
      <alignment horizontal="center" vertical="center"/>
    </xf>
    <xf borderId="34" fillId="17" fontId="16" numFmtId="0" xfId="0" applyAlignment="1" applyBorder="1" applyFill="1" applyFont="1">
      <alignment horizontal="center" vertical="center"/>
    </xf>
    <xf borderId="32" fillId="15" fontId="13" numFmtId="0" xfId="0" applyAlignment="1" applyBorder="1" applyFont="1">
      <alignment horizontal="center" vertical="center"/>
    </xf>
    <xf borderId="82" fillId="2" fontId="1" numFmtId="0" xfId="0" applyAlignment="1" applyBorder="1" applyFont="1">
      <alignment vertical="center"/>
    </xf>
    <xf borderId="29" fillId="6" fontId="7" numFmtId="0" xfId="0" applyAlignment="1" applyBorder="1" applyFont="1">
      <alignment horizontal="center" vertical="center"/>
    </xf>
    <xf borderId="51" fillId="9" fontId="7" numFmtId="0" xfId="0" applyAlignment="1" applyBorder="1" applyFont="1">
      <alignment horizontal="center" vertical="center"/>
    </xf>
    <xf borderId="83" fillId="9" fontId="7" numFmtId="0" xfId="0" applyAlignment="1" applyBorder="1" applyFont="1">
      <alignment horizontal="center" vertical="center"/>
    </xf>
    <xf borderId="29" fillId="9" fontId="7" numFmtId="0" xfId="0" applyAlignment="1" applyBorder="1" applyFont="1">
      <alignment horizontal="center" vertical="center"/>
    </xf>
    <xf borderId="52" fillId="4" fontId="15" numFmtId="0" xfId="0" applyAlignment="1" applyBorder="1" applyFont="1">
      <alignment horizontal="center" vertical="center"/>
    </xf>
    <xf borderId="52" fillId="4" fontId="1" numFmtId="0" xfId="0" applyAlignment="1" applyBorder="1" applyFont="1">
      <alignment horizontal="center" vertical="center"/>
    </xf>
    <xf borderId="32" fillId="13" fontId="10" numFmtId="0" xfId="0" applyAlignment="1" applyBorder="1" applyFont="1">
      <alignment horizontal="center" shrinkToFit="0" vertical="center" wrapText="1"/>
    </xf>
    <xf borderId="34" fillId="4" fontId="7" numFmtId="0" xfId="0" applyAlignment="1" applyBorder="1" applyFont="1">
      <alignment horizontal="center" vertical="center"/>
    </xf>
    <xf borderId="74" fillId="4" fontId="10" numFmtId="0" xfId="0" applyAlignment="1" applyBorder="1" applyFont="1">
      <alignment horizontal="center"/>
    </xf>
    <xf borderId="75" fillId="4" fontId="15" numFmtId="0" xfId="0" applyAlignment="1" applyBorder="1" applyFont="1">
      <alignment horizontal="center" vertical="center"/>
    </xf>
    <xf borderId="75" fillId="4" fontId="1" numFmtId="0" xfId="0" applyAlignment="1" applyBorder="1" applyFont="1">
      <alignment horizontal="center" vertical="center"/>
    </xf>
    <xf borderId="43" fillId="13" fontId="10" numFmtId="0" xfId="0" applyAlignment="1" applyBorder="1" applyFont="1">
      <alignment horizontal="center" shrinkToFit="0" vertical="center" wrapText="1"/>
    </xf>
    <xf borderId="43" fillId="13" fontId="1" numFmtId="0" xfId="0" applyAlignment="1" applyBorder="1" applyFont="1">
      <alignment horizontal="center" shrinkToFit="0" vertical="center" wrapText="1"/>
    </xf>
    <xf borderId="84" fillId="0" fontId="4" numFmtId="0" xfId="0" applyBorder="1" applyFont="1"/>
    <xf borderId="28" fillId="4" fontId="10" numFmtId="0" xfId="0" applyAlignment="1" applyBorder="1" applyFont="1">
      <alignment horizontal="center"/>
    </xf>
    <xf borderId="29" fillId="4" fontId="1" numFmtId="0" xfId="0" applyAlignment="1" applyBorder="1" applyFont="1">
      <alignment horizontal="center" vertical="center"/>
    </xf>
    <xf borderId="28" fillId="5" fontId="10" numFmtId="0" xfId="0" applyAlignment="1" applyBorder="1" applyFont="1">
      <alignment horizontal="center"/>
    </xf>
    <xf borderId="29" fillId="4" fontId="15" numFmtId="0" xfId="0" applyAlignment="1" applyBorder="1" applyFont="1">
      <alignment horizontal="center" vertical="center"/>
    </xf>
    <xf borderId="28" fillId="4" fontId="1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46" fillId="18" fontId="1" numFmtId="0" xfId="0" applyAlignment="1" applyBorder="1" applyFill="1" applyFont="1">
      <alignment horizontal="center" vertical="center"/>
    </xf>
    <xf borderId="10" fillId="18" fontId="1" numFmtId="0" xfId="0" applyAlignment="1" applyBorder="1" applyFont="1">
      <alignment vertical="center"/>
    </xf>
    <xf borderId="9" fillId="18" fontId="1" numFmtId="0" xfId="0" applyAlignment="1" applyBorder="1" applyFont="1">
      <alignment vertical="center"/>
    </xf>
    <xf borderId="14" fillId="18" fontId="1" numFmtId="0" xfId="0" applyAlignment="1" applyBorder="1" applyFont="1">
      <alignment vertical="center"/>
    </xf>
    <xf borderId="0" fillId="0" fontId="3" numFmtId="17" xfId="0" applyAlignment="1" applyFont="1" applyNumberFormat="1">
      <alignment horizontal="center" vertical="center"/>
    </xf>
    <xf borderId="0" fillId="0" fontId="16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2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1" fillId="2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4" fontId="3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0" fillId="0" fontId="23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0" fontId="24" numFmtId="0" xfId="0" applyAlignment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7" numFmtId="0" xfId="0" applyAlignment="1" applyFont="1">
      <alignment vertical="center"/>
    </xf>
    <xf borderId="0" fillId="0" fontId="25" numFmtId="16" xfId="0" applyAlignment="1" applyFont="1" applyNumberFormat="1">
      <alignment horizontal="center" vertical="center"/>
    </xf>
    <xf borderId="0" fillId="0" fontId="28" numFmtId="0" xfId="0" applyAlignment="1" applyFont="1">
      <alignment horizontal="center" vertical="center"/>
    </xf>
    <xf borderId="1" fillId="18" fontId="1" numFmtId="0" xfId="0" applyBorder="1" applyFont="1"/>
    <xf borderId="0" fillId="0" fontId="13" numFmtId="0" xfId="0" applyFont="1"/>
    <xf borderId="0" fillId="0" fontId="29" numFmtId="0" xfId="0" applyFont="1"/>
    <xf borderId="1" fillId="19" fontId="12" numFmtId="0" xfId="0" applyBorder="1" applyFill="1" applyFont="1"/>
    <xf borderId="0" fillId="0" fontId="12" numFmtId="0" xfId="0" applyFont="1"/>
    <xf borderId="0" fillId="0" fontId="30" numFmtId="0" xfId="0" applyFont="1"/>
    <xf borderId="0" fillId="0" fontId="1" numFmtId="0" xfId="0" applyFont="1"/>
    <xf borderId="1" fillId="19" fontId="1" numFmtId="0" xfId="0" applyBorder="1" applyFont="1"/>
    <xf borderId="85" fillId="0" fontId="1" numFmtId="0" xfId="0" applyBorder="1" applyFont="1"/>
    <xf borderId="3" fillId="18" fontId="1" numFmtId="0" xfId="0" applyBorder="1" applyFont="1"/>
    <xf borderId="40" fillId="18" fontId="1" numFmtId="0" xfId="0" applyBorder="1" applyFont="1"/>
    <xf borderId="86" fillId="0" fontId="1" numFmtId="0" xfId="0" applyBorder="1" applyFont="1"/>
    <xf borderId="85" fillId="0" fontId="13" numFmtId="0" xfId="0" applyBorder="1" applyFont="1"/>
    <xf borderId="0" fillId="0" fontId="1" numFmtId="0" xfId="0" applyAlignment="1" applyFont="1">
      <alignment horizontal="right"/>
    </xf>
    <xf borderId="85" fillId="0" fontId="4" numFmtId="0" xfId="0" applyBorder="1" applyFont="1"/>
    <xf borderId="40" fillId="3" fontId="13" numFmtId="0" xfId="0" applyAlignment="1" applyBorder="1" applyFont="1">
      <alignment horizontal="center"/>
    </xf>
    <xf borderId="71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87" fillId="0" fontId="1" numFmtId="0" xfId="0" applyBorder="1" applyFont="1"/>
    <xf borderId="88" fillId="0" fontId="12" numFmtId="0" xfId="0" applyBorder="1" applyFont="1"/>
    <xf borderId="89" fillId="0" fontId="12" numFmtId="0" xfId="0" applyBorder="1" applyFont="1"/>
    <xf borderId="90" fillId="0" fontId="12" numFmtId="0" xfId="0" applyBorder="1" applyFont="1"/>
    <xf borderId="91" fillId="0" fontId="12" numFmtId="0" xfId="0" applyBorder="1" applyFont="1"/>
    <xf borderId="3" fillId="19" fontId="12" numFmtId="0" xfId="0" applyBorder="1" applyFont="1"/>
    <xf borderId="40" fillId="19" fontId="12" numFmtId="0" xfId="0" applyBorder="1" applyFont="1"/>
    <xf borderId="92" fillId="0" fontId="1" numFmtId="0" xfId="0" applyBorder="1" applyFont="1"/>
    <xf borderId="93" fillId="0" fontId="1" numFmtId="0" xfId="0" applyBorder="1" applyFont="1"/>
    <xf borderId="94" fillId="0" fontId="1" numFmtId="0" xfId="0" applyBorder="1" applyFont="1"/>
    <xf borderId="95" fillId="0" fontId="1" numFmtId="0" xfId="0" applyBorder="1" applyFont="1"/>
    <xf borderId="85" fillId="0" fontId="12" numFmtId="0" xfId="0" applyBorder="1" applyFont="1"/>
    <xf borderId="96" fillId="0" fontId="1" numFmtId="0" xfId="0" applyBorder="1" applyFont="1"/>
    <xf borderId="97" fillId="0" fontId="12" numFmtId="0" xfId="0" applyBorder="1" applyFont="1"/>
    <xf borderId="97" fillId="0" fontId="1" numFmtId="0" xfId="0" applyBorder="1" applyFont="1"/>
    <xf borderId="98" fillId="0" fontId="1" numFmtId="0" xfId="0" applyBorder="1" applyFont="1"/>
    <xf borderId="99" fillId="0" fontId="12" numFmtId="0" xfId="0" applyBorder="1" applyFont="1"/>
    <xf borderId="71" fillId="0" fontId="1" numFmtId="0" xfId="0" applyBorder="1" applyFont="1"/>
    <xf borderId="100" fillId="0" fontId="1" numFmtId="0" xfId="0" applyBorder="1" applyFont="1"/>
    <xf borderId="101" fillId="0" fontId="1" numFmtId="0" xfId="0" applyBorder="1" applyFont="1"/>
    <xf borderId="99" fillId="0" fontId="1" numFmtId="0" xfId="0" applyBorder="1" applyFont="1"/>
    <xf borderId="102" fillId="0" fontId="1" numFmtId="0" xfId="0" applyBorder="1" applyFont="1"/>
    <xf borderId="103" fillId="0" fontId="1" numFmtId="0" xfId="0" applyBorder="1" applyFont="1"/>
    <xf borderId="104" fillId="0" fontId="12" numFmtId="0" xfId="0" applyAlignment="1" applyBorder="1" applyFont="1">
      <alignment horizontal="center"/>
    </xf>
    <xf borderId="105" fillId="0" fontId="4" numFmtId="0" xfId="0" applyBorder="1" applyFont="1"/>
    <xf borderId="106" fillId="0" fontId="4" numFmtId="0" xfId="0" applyBorder="1" applyFont="1"/>
    <xf borderId="107" fillId="0" fontId="1" numFmtId="0" xfId="0" applyAlignment="1" applyBorder="1" applyFont="1">
      <alignment horizontal="center"/>
    </xf>
    <xf borderId="108" fillId="0" fontId="4" numFmtId="0" xfId="0" applyBorder="1" applyFont="1"/>
    <xf borderId="24" fillId="0" fontId="1" numFmtId="2" xfId="0" applyAlignment="1" applyBorder="1" applyFont="1" applyNumberFormat="1">
      <alignment horizontal="right"/>
    </xf>
    <xf borderId="109" fillId="0" fontId="4" numFmtId="0" xfId="0" applyBorder="1" applyFont="1"/>
    <xf borderId="110" fillId="0" fontId="1" numFmtId="0" xfId="0" applyAlignment="1" applyBorder="1" applyFont="1">
      <alignment horizontal="center"/>
    </xf>
    <xf borderId="111" fillId="0" fontId="12" numFmtId="0" xfId="0" applyAlignment="1" applyBorder="1" applyFont="1">
      <alignment horizontal="center"/>
    </xf>
    <xf borderId="112" fillId="0" fontId="4" numFmtId="0" xfId="0" applyBorder="1" applyFont="1"/>
    <xf borderId="113" fillId="0" fontId="12" numFmtId="2" xfId="0" applyAlignment="1" applyBorder="1" applyFont="1" applyNumberFormat="1">
      <alignment horizontal="right"/>
    </xf>
    <xf borderId="114" fillId="0" fontId="4" numFmtId="0" xfId="0" applyBorder="1" applyFont="1"/>
    <xf borderId="115" fillId="0" fontId="12" numFmtId="0" xfId="0" applyAlignment="1" applyBorder="1" applyFont="1">
      <alignment horizontal="center"/>
    </xf>
    <xf borderId="103" fillId="0" fontId="4" numFmtId="0" xfId="0" applyBorder="1" applyFont="1"/>
    <xf borderId="116" fillId="0" fontId="12" numFmtId="2" xfId="0" applyAlignment="1" applyBorder="1" applyFont="1" applyNumberFormat="1">
      <alignment horizontal="right"/>
    </xf>
    <xf borderId="117" fillId="0" fontId="4" numFmtId="0" xfId="0" applyBorder="1" applyFont="1"/>
    <xf borderId="0" fillId="0" fontId="12" numFmtId="0" xfId="0" applyAlignment="1" applyFont="1">
      <alignment horizontal="center"/>
    </xf>
    <xf borderId="1" fillId="19" fontId="12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1257300</xdr:colOff>
      <xdr:row>7</xdr:row>
      <xdr:rowOff>47625</xdr:rowOff>
    </xdr:from>
    <xdr:ext cx="409575" cy="3248025"/>
    <xdr:sp>
      <xdr:nvSpPr>
        <xdr:cNvPr id="3" name="Shape 3"/>
        <xdr:cNvSpPr/>
      </xdr:nvSpPr>
      <xdr:spPr>
        <a:xfrm rot="-5400000">
          <a:off x="3726750" y="3577284"/>
          <a:ext cx="3238500" cy="40543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Neujahr</a:t>
          </a:r>
          <a:endParaRPr b="0" i="0" sz="1800" cap="none">
            <a:solidFill>
              <a:srgbClr val="C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361950</xdr:colOff>
      <xdr:row>7</xdr:row>
      <xdr:rowOff>0</xdr:rowOff>
    </xdr:from>
    <xdr:ext cx="409575" cy="3209925"/>
    <xdr:sp>
      <xdr:nvSpPr>
        <xdr:cNvPr id="4" name="Shape 4"/>
        <xdr:cNvSpPr/>
      </xdr:nvSpPr>
      <xdr:spPr>
        <a:xfrm rot="-5400000">
          <a:off x="3744610" y="3577284"/>
          <a:ext cx="3202781" cy="40543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Dreikönig</a:t>
          </a:r>
          <a:endParaRPr b="0" i="0" sz="1800" cap="none">
            <a:solidFill>
              <a:srgbClr val="C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96</xdr:col>
      <xdr:colOff>9525</xdr:colOff>
      <xdr:row>24</xdr:row>
      <xdr:rowOff>200025</xdr:rowOff>
    </xdr:from>
    <xdr:ext cx="342900" cy="3209925"/>
    <xdr:sp>
      <xdr:nvSpPr>
        <xdr:cNvPr id="5" name="Shape 5"/>
        <xdr:cNvSpPr/>
      </xdr:nvSpPr>
      <xdr:spPr>
        <a:xfrm rot="-5400000">
          <a:off x="3744610" y="3608607"/>
          <a:ext cx="3202781" cy="34278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600" cap="none">
              <a:solidFill>
                <a:srgbClr val="C00000"/>
              </a:solidFill>
              <a:latin typeface="Arial"/>
              <a:ea typeface="Arial"/>
              <a:cs typeface="Arial"/>
              <a:sym typeface="Arial"/>
            </a:rPr>
            <a:t>Tag der </a:t>
          </a:r>
          <a:r>
            <a:rPr b="0" i="0" lang="en-US" sz="16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Deutschen</a:t>
          </a:r>
          <a:r>
            <a:rPr b="0" i="0" lang="en-US" sz="1600" cap="none">
              <a:solidFill>
                <a:srgbClr val="C00000"/>
              </a:solidFill>
              <a:latin typeface="Arial"/>
              <a:ea typeface="Arial"/>
              <a:cs typeface="Arial"/>
              <a:sym typeface="Arial"/>
            </a:rPr>
            <a:t> Einheit</a:t>
          </a:r>
          <a:endParaRPr b="0" i="0" sz="1400" cap="none">
            <a:solidFill>
              <a:srgbClr val="C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124</xdr:col>
      <xdr:colOff>361950</xdr:colOff>
      <xdr:row>23</xdr:row>
      <xdr:rowOff>323850</xdr:rowOff>
    </xdr:from>
    <xdr:ext cx="409575" cy="3209925"/>
    <xdr:sp>
      <xdr:nvSpPr>
        <xdr:cNvPr id="6" name="Shape 6"/>
        <xdr:cNvSpPr/>
      </xdr:nvSpPr>
      <xdr:spPr>
        <a:xfrm rot="-5400000">
          <a:off x="3744610" y="3577284"/>
          <a:ext cx="3202781" cy="40543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Allerheiligen</a:t>
          </a:r>
          <a:endParaRPr sz="1400"/>
        </a:p>
      </xdr:txBody>
    </xdr:sp>
    <xdr:clientData fLocksWithSheet="0"/>
  </xdr:oneCellAnchor>
  <xdr:oneCellAnchor>
    <xdr:from>
      <xdr:col>177</xdr:col>
      <xdr:colOff>352425</xdr:colOff>
      <xdr:row>23</xdr:row>
      <xdr:rowOff>333375</xdr:rowOff>
    </xdr:from>
    <xdr:ext cx="381000" cy="3209925"/>
    <xdr:sp>
      <xdr:nvSpPr>
        <xdr:cNvPr id="7" name="Shape 7"/>
        <xdr:cNvSpPr/>
      </xdr:nvSpPr>
      <xdr:spPr>
        <a:xfrm rot="-5400000">
          <a:off x="3744610" y="3589501"/>
          <a:ext cx="3202781" cy="38099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Heiligabend</a:t>
          </a:r>
          <a:endParaRPr sz="1400"/>
        </a:p>
      </xdr:txBody>
    </xdr:sp>
    <xdr:clientData fLocksWithSheet="0"/>
  </xdr:oneCellAnchor>
  <xdr:oneCellAnchor>
    <xdr:from>
      <xdr:col>179</xdr:col>
      <xdr:colOff>0</xdr:colOff>
      <xdr:row>24</xdr:row>
      <xdr:rowOff>0</xdr:rowOff>
    </xdr:from>
    <xdr:ext cx="381000" cy="3209925"/>
    <xdr:sp>
      <xdr:nvSpPr>
        <xdr:cNvPr id="8" name="Shape 8"/>
        <xdr:cNvSpPr/>
      </xdr:nvSpPr>
      <xdr:spPr>
        <a:xfrm rot="-5400000">
          <a:off x="3744610" y="3589501"/>
          <a:ext cx="3202781" cy="38099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Arial"/>
              <a:ea typeface="Arial"/>
              <a:cs typeface="Arial"/>
              <a:sym typeface="Arial"/>
            </a:rPr>
            <a:t>1. </a:t>
          </a: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Weihnachtstag</a:t>
          </a:r>
          <a:endParaRPr sz="1400"/>
        </a:p>
      </xdr:txBody>
    </xdr:sp>
    <xdr:clientData fLocksWithSheet="0"/>
  </xdr:oneCellAnchor>
  <xdr:oneCellAnchor>
    <xdr:from>
      <xdr:col>179</xdr:col>
      <xdr:colOff>361950</xdr:colOff>
      <xdr:row>23</xdr:row>
      <xdr:rowOff>333375</xdr:rowOff>
    </xdr:from>
    <xdr:ext cx="381000" cy="3209925"/>
    <xdr:sp>
      <xdr:nvSpPr>
        <xdr:cNvPr id="9" name="Shape 9"/>
        <xdr:cNvSpPr/>
      </xdr:nvSpPr>
      <xdr:spPr>
        <a:xfrm rot="-5400000">
          <a:off x="3744610" y="3589501"/>
          <a:ext cx="3202781" cy="38099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Arial"/>
              <a:ea typeface="Arial"/>
              <a:cs typeface="Arial"/>
              <a:sym typeface="Arial"/>
            </a:rPr>
            <a:t>2. </a:t>
          </a: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Weihnachtstag</a:t>
          </a:r>
          <a:endParaRPr sz="1400"/>
        </a:p>
      </xdr:txBody>
    </xdr:sp>
    <xdr:clientData fLocksWithSheet="0"/>
  </xdr:oneCellAnchor>
  <xdr:oneCellAnchor>
    <xdr:from>
      <xdr:col>184</xdr:col>
      <xdr:colOff>361950</xdr:colOff>
      <xdr:row>24</xdr:row>
      <xdr:rowOff>0</xdr:rowOff>
    </xdr:from>
    <xdr:ext cx="381000" cy="3209925"/>
    <xdr:sp>
      <xdr:nvSpPr>
        <xdr:cNvPr id="10" name="Shape 10"/>
        <xdr:cNvSpPr/>
      </xdr:nvSpPr>
      <xdr:spPr>
        <a:xfrm rot="-5400000">
          <a:off x="3744610" y="3589501"/>
          <a:ext cx="3202781" cy="38099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Silvester</a:t>
          </a:r>
          <a:endParaRPr sz="1400"/>
        </a:p>
      </xdr:txBody>
    </xdr:sp>
    <xdr:clientData fLocksWithSheet="0"/>
  </xdr:oneCellAnchor>
  <xdr:oneCellAnchor>
    <xdr:from>
      <xdr:col>1</xdr:col>
      <xdr:colOff>1209675</xdr:colOff>
      <xdr:row>41</xdr:row>
      <xdr:rowOff>28575</xdr:rowOff>
    </xdr:from>
    <xdr:ext cx="409575" cy="3248025"/>
    <xdr:sp>
      <xdr:nvSpPr>
        <xdr:cNvPr id="11" name="Shape 11"/>
        <xdr:cNvSpPr/>
      </xdr:nvSpPr>
      <xdr:spPr>
        <a:xfrm rot="-5400000">
          <a:off x="3726750" y="3577284"/>
          <a:ext cx="3238500" cy="40543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C00000"/>
            </a:buClr>
            <a:buSzPts val="2000"/>
            <a:buFont typeface="Calibri"/>
            <a:buNone/>
          </a:pPr>
          <a:r>
            <a:rPr b="0" i="0" lang="en-US" sz="2000" u="none" cap="none" strike="noStrik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Neujahr</a:t>
          </a:r>
          <a:endParaRPr b="0" i="0" sz="1800" u="none" cap="none" strike="noStrike">
            <a:solidFill>
              <a:srgbClr val="C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333375</xdr:colOff>
      <xdr:row>41</xdr:row>
      <xdr:rowOff>19050</xdr:rowOff>
    </xdr:from>
    <xdr:ext cx="409575" cy="3209925"/>
    <xdr:sp>
      <xdr:nvSpPr>
        <xdr:cNvPr id="12" name="Shape 12"/>
        <xdr:cNvSpPr/>
      </xdr:nvSpPr>
      <xdr:spPr>
        <a:xfrm rot="-5400000">
          <a:off x="3744610" y="3577284"/>
          <a:ext cx="3202781" cy="40543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C00000"/>
            </a:buClr>
            <a:buSzPts val="2000"/>
            <a:buFont typeface="Calibri"/>
            <a:buNone/>
          </a:pPr>
          <a:r>
            <a:rPr b="0" i="0" lang="en-US" sz="2000" u="none" cap="none" strike="noStrik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Dreikönig</a:t>
          </a:r>
          <a:endParaRPr b="0" i="0" sz="1800" u="none" cap="none" strike="noStrike">
            <a:solidFill>
              <a:srgbClr val="C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109</xdr:col>
      <xdr:colOff>9525</xdr:colOff>
      <xdr:row>7</xdr:row>
      <xdr:rowOff>0</xdr:rowOff>
    </xdr:from>
    <xdr:ext cx="361950" cy="3209925"/>
    <xdr:sp>
      <xdr:nvSpPr>
        <xdr:cNvPr id="13" name="Shape 13"/>
        <xdr:cNvSpPr/>
      </xdr:nvSpPr>
      <xdr:spPr>
        <a:xfrm rot="-5400000">
          <a:off x="3744610" y="3601105"/>
          <a:ext cx="3202781" cy="35779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800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121</xdr:col>
      <xdr:colOff>361950</xdr:colOff>
      <xdr:row>7</xdr:row>
      <xdr:rowOff>152400</xdr:rowOff>
    </xdr:from>
    <xdr:ext cx="409575" cy="3209925"/>
    <xdr:sp>
      <xdr:nvSpPr>
        <xdr:cNvPr id="14" name="Shape 14"/>
        <xdr:cNvSpPr/>
      </xdr:nvSpPr>
      <xdr:spPr>
        <a:xfrm rot="-5400000">
          <a:off x="3744610" y="3577284"/>
          <a:ext cx="3202781" cy="40543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Tag der Arbeit</a:t>
          </a:r>
          <a:endParaRPr sz="1400"/>
        </a:p>
      </xdr:txBody>
    </xdr:sp>
    <xdr:clientData fLocksWithSheet="0"/>
  </xdr:oneCellAnchor>
  <xdr:oneCellAnchor>
    <xdr:from>
      <xdr:col>94</xdr:col>
      <xdr:colOff>9525</xdr:colOff>
      <xdr:row>7</xdr:row>
      <xdr:rowOff>0</xdr:rowOff>
    </xdr:from>
    <xdr:ext cx="361950" cy="3209925"/>
    <xdr:sp>
      <xdr:nvSpPr>
        <xdr:cNvPr id="15" name="Shape 15"/>
        <xdr:cNvSpPr/>
      </xdr:nvSpPr>
      <xdr:spPr>
        <a:xfrm rot="-5400000">
          <a:off x="3744610" y="3601105"/>
          <a:ext cx="3202781" cy="35779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800" cap="non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93</xdr:col>
      <xdr:colOff>361950</xdr:colOff>
      <xdr:row>7</xdr:row>
      <xdr:rowOff>0</xdr:rowOff>
    </xdr:from>
    <xdr:ext cx="409575" cy="3209925"/>
    <xdr:sp>
      <xdr:nvSpPr>
        <xdr:cNvPr id="16" name="Shape 16"/>
        <xdr:cNvSpPr/>
      </xdr:nvSpPr>
      <xdr:spPr>
        <a:xfrm rot="-5400000">
          <a:off x="3744610" y="3577284"/>
          <a:ext cx="3202781" cy="40543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Karfreitag</a:t>
          </a:r>
          <a:endParaRPr b="0" i="0" sz="1800" cap="none">
            <a:solidFill>
              <a:srgbClr val="C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95</xdr:col>
      <xdr:colOff>361950</xdr:colOff>
      <xdr:row>7</xdr:row>
      <xdr:rowOff>0</xdr:rowOff>
    </xdr:from>
    <xdr:ext cx="409575" cy="3209925"/>
    <xdr:sp>
      <xdr:nvSpPr>
        <xdr:cNvPr id="17" name="Shape 17"/>
        <xdr:cNvSpPr/>
      </xdr:nvSpPr>
      <xdr:spPr>
        <a:xfrm rot="-5400000">
          <a:off x="3744610" y="3577284"/>
          <a:ext cx="3202781" cy="40543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Ostersonntag</a:t>
          </a:r>
          <a:endParaRPr b="0" i="0" sz="1800" cap="none">
            <a:solidFill>
              <a:srgbClr val="C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96</xdr:col>
      <xdr:colOff>361950</xdr:colOff>
      <xdr:row>7</xdr:row>
      <xdr:rowOff>0</xdr:rowOff>
    </xdr:from>
    <xdr:ext cx="409575" cy="3209925"/>
    <xdr:sp>
      <xdr:nvSpPr>
        <xdr:cNvPr id="18" name="Shape 18"/>
        <xdr:cNvSpPr/>
      </xdr:nvSpPr>
      <xdr:spPr>
        <a:xfrm rot="-5400000">
          <a:off x="3744610" y="3577284"/>
          <a:ext cx="3202781" cy="40543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Ostermontag</a:t>
          </a:r>
          <a:endParaRPr sz="1400"/>
        </a:p>
      </xdr:txBody>
    </xdr:sp>
    <xdr:clientData fLocksWithSheet="0"/>
  </xdr:oneCellAnchor>
  <xdr:oneCellAnchor>
    <xdr:from>
      <xdr:col>135</xdr:col>
      <xdr:colOff>0</xdr:colOff>
      <xdr:row>7</xdr:row>
      <xdr:rowOff>0</xdr:rowOff>
    </xdr:from>
    <xdr:ext cx="409575" cy="3209925"/>
    <xdr:sp>
      <xdr:nvSpPr>
        <xdr:cNvPr id="19" name="Shape 19"/>
        <xdr:cNvSpPr/>
      </xdr:nvSpPr>
      <xdr:spPr>
        <a:xfrm rot="-5400000">
          <a:off x="3744610" y="3577284"/>
          <a:ext cx="3202781" cy="40543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Christi</a:t>
          </a:r>
          <a:r>
            <a:rPr b="0" i="0" lang="en-US" sz="2000" cap="none">
              <a:solidFill>
                <a:srgbClr val="C00000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Himmelfahrt</a:t>
          </a:r>
          <a:endParaRPr sz="1400"/>
        </a:p>
      </xdr:txBody>
    </xdr:sp>
    <xdr:clientData fLocksWithSheet="0"/>
  </xdr:oneCellAnchor>
  <xdr:oneCellAnchor>
    <xdr:from>
      <xdr:col>156</xdr:col>
      <xdr:colOff>0</xdr:colOff>
      <xdr:row>6</xdr:row>
      <xdr:rowOff>333375</xdr:rowOff>
    </xdr:from>
    <xdr:ext cx="428625" cy="3209925"/>
    <xdr:sp>
      <xdr:nvSpPr>
        <xdr:cNvPr id="20" name="Shape 20"/>
        <xdr:cNvSpPr/>
      </xdr:nvSpPr>
      <xdr:spPr>
        <a:xfrm rot="-5400000">
          <a:off x="3744610" y="3568497"/>
          <a:ext cx="3202781" cy="423006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Fronleichnam</a:t>
          </a:r>
          <a:endParaRPr sz="1400"/>
        </a:p>
      </xdr:txBody>
    </xdr:sp>
    <xdr:clientData fLocksWithSheet="0"/>
  </xdr:oneCellAnchor>
  <xdr:oneCellAnchor>
    <xdr:from>
      <xdr:col>144</xdr:col>
      <xdr:colOff>361950</xdr:colOff>
      <xdr:row>7</xdr:row>
      <xdr:rowOff>19050</xdr:rowOff>
    </xdr:from>
    <xdr:ext cx="381000" cy="3209925"/>
    <xdr:sp>
      <xdr:nvSpPr>
        <xdr:cNvPr id="21" name="Shape 21"/>
        <xdr:cNvSpPr/>
      </xdr:nvSpPr>
      <xdr:spPr>
        <a:xfrm rot="-5400000">
          <a:off x="3744610" y="3589501"/>
          <a:ext cx="3202781" cy="38099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Pfingstsonntag</a:t>
          </a:r>
          <a:endParaRPr sz="1400"/>
        </a:p>
      </xdr:txBody>
    </xdr:sp>
    <xdr:clientData fLocksWithSheet="0"/>
  </xdr:oneCellAnchor>
  <xdr:oneCellAnchor>
    <xdr:from>
      <xdr:col>145</xdr:col>
      <xdr:colOff>352425</xdr:colOff>
      <xdr:row>7</xdr:row>
      <xdr:rowOff>19050</xdr:rowOff>
    </xdr:from>
    <xdr:ext cx="381000" cy="3209925"/>
    <xdr:sp>
      <xdr:nvSpPr>
        <xdr:cNvPr id="22" name="Shape 22"/>
        <xdr:cNvSpPr/>
      </xdr:nvSpPr>
      <xdr:spPr>
        <a:xfrm rot="-5400000">
          <a:off x="3744610" y="3589501"/>
          <a:ext cx="3202781" cy="38099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2000" cap="none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Pfingstmontag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.14"/>
    <col customWidth="1" min="2" max="2" width="18.71"/>
    <col customWidth="1" min="3" max="186" width="5.71"/>
    <col customWidth="1" min="187" max="187" width="3.86"/>
    <col customWidth="1" min="188" max="188" width="12.29"/>
    <col customWidth="1" min="189" max="189" width="28.71"/>
    <col customWidth="1" min="190" max="209" width="11.43"/>
  </cols>
  <sheetData>
    <row r="1" ht="6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4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</row>
    <row r="2" ht="30.0" customHeight="1">
      <c r="A2" s="5"/>
      <c r="B2" s="6" t="s">
        <v>0</v>
      </c>
      <c r="C2" s="7">
        <v>2026.0</v>
      </c>
      <c r="D2" s="8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1"/>
      <c r="BL2" s="10"/>
      <c r="BM2" s="12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1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10"/>
      <c r="FR2" s="10"/>
      <c r="FS2" s="10"/>
      <c r="FT2" s="10"/>
      <c r="FU2" s="10"/>
      <c r="FV2" s="10"/>
      <c r="FW2" s="10"/>
      <c r="FX2" s="10"/>
      <c r="FY2" s="10"/>
      <c r="FZ2" s="10"/>
      <c r="GA2" s="10"/>
      <c r="GB2" s="13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</row>
    <row r="3" ht="30.0" customHeight="1">
      <c r="A3" s="5"/>
      <c r="B3" s="15"/>
      <c r="C3" s="16"/>
      <c r="D3" s="17"/>
      <c r="E3" s="17"/>
      <c r="F3" s="17"/>
      <c r="G3" s="17"/>
      <c r="H3" s="17"/>
      <c r="I3" s="17"/>
      <c r="J3" s="17"/>
      <c r="K3" s="17"/>
      <c r="L3" s="17"/>
      <c r="M3" s="18" t="s">
        <v>1</v>
      </c>
      <c r="N3" s="19"/>
      <c r="O3" s="19"/>
      <c r="P3" s="20"/>
      <c r="Q3" s="21">
        <f>C2</f>
        <v>2026</v>
      </c>
      <c r="R3" s="19"/>
      <c r="S3" s="19"/>
      <c r="T3" s="20"/>
      <c r="U3" s="22"/>
      <c r="V3" s="22"/>
      <c r="W3" s="22"/>
      <c r="X3" s="17"/>
      <c r="Y3" s="17"/>
      <c r="Z3" s="17"/>
      <c r="AA3" s="17"/>
      <c r="AB3" s="17"/>
      <c r="AC3" s="17"/>
      <c r="AD3" s="17"/>
      <c r="AE3" s="17"/>
      <c r="AF3" s="17"/>
      <c r="AG3" s="23"/>
      <c r="AH3" s="24"/>
      <c r="AI3" s="25"/>
      <c r="AJ3" s="25"/>
      <c r="AK3" s="25"/>
      <c r="AL3" s="25"/>
      <c r="AM3" s="25"/>
      <c r="AN3" s="25"/>
      <c r="AO3" s="25"/>
      <c r="AP3" s="25"/>
      <c r="AQ3" s="25"/>
      <c r="AR3" s="26" t="s">
        <v>2</v>
      </c>
      <c r="AS3" s="19"/>
      <c r="AT3" s="19"/>
      <c r="AU3" s="20"/>
      <c r="AV3" s="21">
        <f>C2</f>
        <v>2026</v>
      </c>
      <c r="AW3" s="19"/>
      <c r="AX3" s="19"/>
      <c r="AY3" s="20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4"/>
      <c r="BK3" s="22"/>
      <c r="BL3" s="22"/>
      <c r="BM3" s="22"/>
      <c r="BN3" s="22"/>
      <c r="BO3" s="22"/>
      <c r="BP3" s="22"/>
      <c r="BQ3" s="22"/>
      <c r="BR3" s="22"/>
      <c r="BS3" s="22"/>
      <c r="BT3" s="18" t="s">
        <v>3</v>
      </c>
      <c r="BU3" s="19"/>
      <c r="BV3" s="19"/>
      <c r="BW3" s="20"/>
      <c r="BX3" s="21">
        <f>C2</f>
        <v>2026</v>
      </c>
      <c r="BY3" s="19"/>
      <c r="BZ3" s="19"/>
      <c r="CA3" s="20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4"/>
      <c r="CP3" s="25"/>
      <c r="CQ3" s="25"/>
      <c r="CR3" s="25"/>
      <c r="CS3" s="25"/>
      <c r="CT3" s="25"/>
      <c r="CU3" s="25"/>
      <c r="CV3" s="25"/>
      <c r="CW3" s="25"/>
      <c r="CX3" s="25"/>
      <c r="CY3" s="26" t="s">
        <v>4</v>
      </c>
      <c r="CZ3" s="19"/>
      <c r="DA3" s="19"/>
      <c r="DB3" s="20"/>
      <c r="DC3" s="21">
        <f>C2</f>
        <v>2026</v>
      </c>
      <c r="DD3" s="19"/>
      <c r="DE3" s="19"/>
      <c r="DF3" s="20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7"/>
      <c r="DS3" s="28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18" t="s">
        <v>5</v>
      </c>
      <c r="EF3" s="19"/>
      <c r="EG3" s="19"/>
      <c r="EH3" s="20"/>
      <c r="EI3" s="21">
        <f>C2</f>
        <v>2026</v>
      </c>
      <c r="EJ3" s="19"/>
      <c r="EK3" s="19"/>
      <c r="EL3" s="20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9"/>
      <c r="EX3" s="24"/>
      <c r="EY3" s="25"/>
      <c r="EZ3" s="25"/>
      <c r="FA3" s="17"/>
      <c r="FB3" s="25"/>
      <c r="FC3" s="25"/>
      <c r="FD3" s="25"/>
      <c r="FE3" s="25"/>
      <c r="FF3" s="25"/>
      <c r="FG3" s="25"/>
      <c r="FH3" s="26" t="s">
        <v>6</v>
      </c>
      <c r="FI3" s="19"/>
      <c r="FJ3" s="19"/>
      <c r="FK3" s="20"/>
      <c r="FL3" s="21">
        <f>C2</f>
        <v>2026</v>
      </c>
      <c r="FM3" s="19"/>
      <c r="FN3" s="19"/>
      <c r="FO3" s="20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30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</row>
    <row r="4" ht="18.0" customHeight="1">
      <c r="A4" s="1"/>
      <c r="B4" s="32"/>
      <c r="C4" s="33" t="s">
        <v>7</v>
      </c>
      <c r="D4" s="34"/>
      <c r="E4" s="34"/>
      <c r="F4" s="34"/>
      <c r="G4" s="34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7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9" t="s">
        <v>8</v>
      </c>
      <c r="AV4" s="40"/>
      <c r="AW4" s="40"/>
      <c r="AX4" s="40"/>
      <c r="AY4" s="40"/>
      <c r="AZ4" s="40"/>
      <c r="BA4" s="40"/>
      <c r="BB4" s="40"/>
      <c r="BC4" s="41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42"/>
      <c r="CF4" s="43"/>
      <c r="CG4" s="43"/>
      <c r="CH4" s="43"/>
      <c r="CI4" s="43"/>
      <c r="CJ4" s="43"/>
      <c r="CK4" s="33" t="s">
        <v>9</v>
      </c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5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37"/>
      <c r="DQ4" s="38"/>
      <c r="DR4" s="37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3" t="s">
        <v>10</v>
      </c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5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4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</row>
    <row r="5" ht="18.0" customHeight="1">
      <c r="A5" s="1"/>
      <c r="B5" s="45"/>
      <c r="C5" s="46" t="s">
        <v>11</v>
      </c>
      <c r="D5" s="47"/>
      <c r="E5" s="47"/>
      <c r="F5" s="48"/>
      <c r="G5" s="46" t="s">
        <v>12</v>
      </c>
      <c r="H5" s="47"/>
      <c r="I5" s="47"/>
      <c r="J5" s="47"/>
      <c r="K5" s="47"/>
      <c r="L5" s="47"/>
      <c r="M5" s="48"/>
      <c r="N5" s="46" t="s">
        <v>13</v>
      </c>
      <c r="O5" s="47"/>
      <c r="P5" s="47"/>
      <c r="Q5" s="47"/>
      <c r="R5" s="47"/>
      <c r="S5" s="47"/>
      <c r="T5" s="48"/>
      <c r="U5" s="46" t="s">
        <v>14</v>
      </c>
      <c r="V5" s="47"/>
      <c r="W5" s="47"/>
      <c r="X5" s="47"/>
      <c r="Y5" s="47"/>
      <c r="Z5" s="47"/>
      <c r="AA5" s="48"/>
      <c r="AB5" s="46" t="s">
        <v>15</v>
      </c>
      <c r="AC5" s="47"/>
      <c r="AD5" s="47"/>
      <c r="AE5" s="47"/>
      <c r="AF5" s="47"/>
      <c r="AG5" s="47"/>
      <c r="AH5" s="48"/>
      <c r="AI5" s="46" t="s">
        <v>16</v>
      </c>
      <c r="AJ5" s="47"/>
      <c r="AK5" s="47"/>
      <c r="AL5" s="47"/>
      <c r="AM5" s="47"/>
      <c r="AN5" s="47"/>
      <c r="AO5" s="48"/>
      <c r="AP5" s="46" t="s">
        <v>17</v>
      </c>
      <c r="AQ5" s="47"/>
      <c r="AR5" s="47"/>
      <c r="AS5" s="47"/>
      <c r="AT5" s="47"/>
      <c r="AU5" s="47"/>
      <c r="AV5" s="48"/>
      <c r="AW5" s="46" t="s">
        <v>18</v>
      </c>
      <c r="AX5" s="47"/>
      <c r="AY5" s="47"/>
      <c r="AZ5" s="47"/>
      <c r="BA5" s="47"/>
      <c r="BB5" s="47"/>
      <c r="BC5" s="48"/>
      <c r="BD5" s="46" t="s">
        <v>19</v>
      </c>
      <c r="BE5" s="47"/>
      <c r="BF5" s="47"/>
      <c r="BG5" s="47"/>
      <c r="BH5" s="47"/>
      <c r="BI5" s="47"/>
      <c r="BJ5" s="48"/>
      <c r="BK5" s="46" t="s">
        <v>20</v>
      </c>
      <c r="BL5" s="47"/>
      <c r="BM5" s="47"/>
      <c r="BN5" s="47"/>
      <c r="BO5" s="47"/>
      <c r="BP5" s="47"/>
      <c r="BQ5" s="48"/>
      <c r="BR5" s="46" t="s">
        <v>21</v>
      </c>
      <c r="BS5" s="47"/>
      <c r="BT5" s="47"/>
      <c r="BU5" s="47"/>
      <c r="BV5" s="47"/>
      <c r="BW5" s="47"/>
      <c r="BX5" s="48"/>
      <c r="BY5" s="46" t="s">
        <v>22</v>
      </c>
      <c r="BZ5" s="47"/>
      <c r="CA5" s="47"/>
      <c r="CB5" s="47"/>
      <c r="CC5" s="47"/>
      <c r="CD5" s="47"/>
      <c r="CE5" s="48"/>
      <c r="CF5" s="46" t="s">
        <v>23</v>
      </c>
      <c r="CG5" s="47"/>
      <c r="CH5" s="47"/>
      <c r="CI5" s="47"/>
      <c r="CJ5" s="47"/>
      <c r="CK5" s="47"/>
      <c r="CL5" s="48"/>
      <c r="CM5" s="46" t="s">
        <v>24</v>
      </c>
      <c r="CN5" s="47"/>
      <c r="CO5" s="47"/>
      <c r="CP5" s="47"/>
      <c r="CQ5" s="47"/>
      <c r="CR5" s="47"/>
      <c r="CS5" s="48"/>
      <c r="CT5" s="46" t="s">
        <v>25</v>
      </c>
      <c r="CU5" s="47"/>
      <c r="CV5" s="47"/>
      <c r="CW5" s="47"/>
      <c r="CX5" s="47"/>
      <c r="CY5" s="47"/>
      <c r="CZ5" s="48"/>
      <c r="DA5" s="46" t="s">
        <v>26</v>
      </c>
      <c r="DB5" s="47"/>
      <c r="DC5" s="47"/>
      <c r="DD5" s="47"/>
      <c r="DE5" s="47"/>
      <c r="DF5" s="47"/>
      <c r="DG5" s="48"/>
      <c r="DH5" s="46" t="s">
        <v>27</v>
      </c>
      <c r="DI5" s="47"/>
      <c r="DJ5" s="47"/>
      <c r="DK5" s="47"/>
      <c r="DL5" s="47"/>
      <c r="DM5" s="47"/>
      <c r="DN5" s="48"/>
      <c r="DO5" s="46" t="s">
        <v>28</v>
      </c>
      <c r="DP5" s="47"/>
      <c r="DQ5" s="47"/>
      <c r="DR5" s="47"/>
      <c r="DS5" s="47"/>
      <c r="DT5" s="47"/>
      <c r="DU5" s="48"/>
      <c r="DV5" s="46" t="s">
        <v>29</v>
      </c>
      <c r="DW5" s="47"/>
      <c r="DX5" s="47"/>
      <c r="DY5" s="47"/>
      <c r="DZ5" s="47"/>
      <c r="EA5" s="47"/>
      <c r="EB5" s="48"/>
      <c r="EC5" s="46" t="s">
        <v>30</v>
      </c>
      <c r="ED5" s="47"/>
      <c r="EE5" s="47"/>
      <c r="EF5" s="47"/>
      <c r="EG5" s="47"/>
      <c r="EH5" s="47"/>
      <c r="EI5" s="48"/>
      <c r="EJ5" s="46" t="s">
        <v>31</v>
      </c>
      <c r="EK5" s="47"/>
      <c r="EL5" s="47"/>
      <c r="EM5" s="47"/>
      <c r="EN5" s="47"/>
      <c r="EO5" s="47"/>
      <c r="EP5" s="48"/>
      <c r="EQ5" s="46" t="s">
        <v>32</v>
      </c>
      <c r="ER5" s="47"/>
      <c r="ES5" s="47"/>
      <c r="ET5" s="47"/>
      <c r="EU5" s="47"/>
      <c r="EV5" s="47"/>
      <c r="EW5" s="48"/>
      <c r="EX5" s="46" t="s">
        <v>33</v>
      </c>
      <c r="EY5" s="47"/>
      <c r="EZ5" s="47"/>
      <c r="FA5" s="47"/>
      <c r="FB5" s="47"/>
      <c r="FC5" s="47"/>
      <c r="FD5" s="48"/>
      <c r="FE5" s="46" t="s">
        <v>34</v>
      </c>
      <c r="FF5" s="47"/>
      <c r="FG5" s="47"/>
      <c r="FH5" s="47"/>
      <c r="FI5" s="47"/>
      <c r="FJ5" s="47"/>
      <c r="FK5" s="48"/>
      <c r="FL5" s="46" t="s">
        <v>35</v>
      </c>
      <c r="FM5" s="47"/>
      <c r="FN5" s="47"/>
      <c r="FO5" s="47"/>
      <c r="FP5" s="47"/>
      <c r="FQ5" s="47"/>
      <c r="FR5" s="48"/>
      <c r="FS5" s="46" t="s">
        <v>36</v>
      </c>
      <c r="FT5" s="47"/>
      <c r="FU5" s="47"/>
      <c r="FV5" s="47"/>
      <c r="FW5" s="47"/>
      <c r="FX5" s="47"/>
      <c r="FY5" s="48"/>
      <c r="FZ5" s="46" t="s">
        <v>37</v>
      </c>
      <c r="GA5" s="48"/>
      <c r="GB5" s="49"/>
      <c r="GC5" s="50"/>
      <c r="GD5" s="50"/>
      <c r="GE5" s="50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</row>
    <row r="6" ht="27.75" customHeight="1">
      <c r="A6" s="1"/>
      <c r="B6" s="51"/>
      <c r="C6" s="52">
        <v>1.0</v>
      </c>
      <c r="D6" s="53">
        <v>2.0</v>
      </c>
      <c r="E6" s="54">
        <v>3.0</v>
      </c>
      <c r="F6" s="54">
        <v>4.0</v>
      </c>
      <c r="G6" s="54">
        <v>5.0</v>
      </c>
      <c r="H6" s="54">
        <v>6.0</v>
      </c>
      <c r="I6" s="54">
        <v>7.0</v>
      </c>
      <c r="J6" s="54">
        <v>8.0</v>
      </c>
      <c r="K6" s="54">
        <v>9.0</v>
      </c>
      <c r="L6" s="54">
        <v>10.0</v>
      </c>
      <c r="M6" s="54">
        <v>11.0</v>
      </c>
      <c r="N6" s="54">
        <v>12.0</v>
      </c>
      <c r="O6" s="54">
        <v>13.0</v>
      </c>
      <c r="P6" s="54">
        <v>14.0</v>
      </c>
      <c r="Q6" s="54">
        <v>15.0</v>
      </c>
      <c r="R6" s="54">
        <v>16.0</v>
      </c>
      <c r="S6" s="54">
        <v>17.0</v>
      </c>
      <c r="T6" s="54">
        <v>18.0</v>
      </c>
      <c r="U6" s="54">
        <v>19.0</v>
      </c>
      <c r="V6" s="54">
        <v>20.0</v>
      </c>
      <c r="W6" s="54">
        <v>21.0</v>
      </c>
      <c r="X6" s="54">
        <v>22.0</v>
      </c>
      <c r="Y6" s="54">
        <v>23.0</v>
      </c>
      <c r="Z6" s="54">
        <v>24.0</v>
      </c>
      <c r="AA6" s="54">
        <v>25.0</v>
      </c>
      <c r="AB6" s="54">
        <v>26.0</v>
      </c>
      <c r="AC6" s="54">
        <v>27.0</v>
      </c>
      <c r="AD6" s="54">
        <v>28.0</v>
      </c>
      <c r="AE6" s="54">
        <v>29.0</v>
      </c>
      <c r="AF6" s="55">
        <v>30.0</v>
      </c>
      <c r="AG6" s="56">
        <v>31.0</v>
      </c>
      <c r="AH6" s="53">
        <v>1.0</v>
      </c>
      <c r="AI6" s="54">
        <v>2.0</v>
      </c>
      <c r="AJ6" s="54">
        <v>3.0</v>
      </c>
      <c r="AK6" s="54">
        <v>4.0</v>
      </c>
      <c r="AL6" s="54">
        <v>5.0</v>
      </c>
      <c r="AM6" s="54">
        <v>6.0</v>
      </c>
      <c r="AN6" s="54">
        <v>7.0</v>
      </c>
      <c r="AO6" s="54">
        <v>8.0</v>
      </c>
      <c r="AP6" s="54">
        <v>9.0</v>
      </c>
      <c r="AQ6" s="54">
        <v>10.0</v>
      </c>
      <c r="AR6" s="54">
        <v>11.0</v>
      </c>
      <c r="AS6" s="54">
        <v>12.0</v>
      </c>
      <c r="AT6" s="54">
        <v>13.0</v>
      </c>
      <c r="AU6" s="54">
        <v>14.0</v>
      </c>
      <c r="AV6" s="54">
        <v>15.0</v>
      </c>
      <c r="AW6" s="54">
        <v>16.0</v>
      </c>
      <c r="AX6" s="54">
        <v>17.0</v>
      </c>
      <c r="AY6" s="54">
        <v>18.0</v>
      </c>
      <c r="AZ6" s="54">
        <v>19.0</v>
      </c>
      <c r="BA6" s="54">
        <v>20.0</v>
      </c>
      <c r="BB6" s="54">
        <v>21.0</v>
      </c>
      <c r="BC6" s="54">
        <v>22.0</v>
      </c>
      <c r="BD6" s="54">
        <v>23.0</v>
      </c>
      <c r="BE6" s="54">
        <v>24.0</v>
      </c>
      <c r="BF6" s="54">
        <v>25.0</v>
      </c>
      <c r="BG6" s="54">
        <v>26.0</v>
      </c>
      <c r="BH6" s="55">
        <v>27.0</v>
      </c>
      <c r="BI6" s="57">
        <v>28.0</v>
      </c>
      <c r="BJ6" s="54">
        <v>1.0</v>
      </c>
      <c r="BK6" s="54">
        <v>2.0</v>
      </c>
      <c r="BL6" s="54">
        <v>3.0</v>
      </c>
      <c r="BM6" s="54">
        <v>4.0</v>
      </c>
      <c r="BN6" s="54">
        <v>5.0</v>
      </c>
      <c r="BO6" s="54">
        <v>6.0</v>
      </c>
      <c r="BP6" s="54">
        <v>7.0</v>
      </c>
      <c r="BQ6" s="54">
        <v>8.0</v>
      </c>
      <c r="BR6" s="54">
        <v>9.0</v>
      </c>
      <c r="BS6" s="54">
        <v>10.0</v>
      </c>
      <c r="BT6" s="54">
        <v>11.0</v>
      </c>
      <c r="BU6" s="54">
        <v>12.0</v>
      </c>
      <c r="BV6" s="54">
        <v>13.0</v>
      </c>
      <c r="BW6" s="54">
        <v>14.0</v>
      </c>
      <c r="BX6" s="54">
        <v>15.0</v>
      </c>
      <c r="BY6" s="54">
        <v>16.0</v>
      </c>
      <c r="BZ6" s="54">
        <v>17.0</v>
      </c>
      <c r="CA6" s="54">
        <v>18.0</v>
      </c>
      <c r="CB6" s="54">
        <v>19.0</v>
      </c>
      <c r="CC6" s="54">
        <v>20.0</v>
      </c>
      <c r="CD6" s="54">
        <v>21.0</v>
      </c>
      <c r="CE6" s="54">
        <v>22.0</v>
      </c>
      <c r="CF6" s="54">
        <v>23.0</v>
      </c>
      <c r="CG6" s="54">
        <v>24.0</v>
      </c>
      <c r="CH6" s="54">
        <v>25.0</v>
      </c>
      <c r="CI6" s="54">
        <v>26.0</v>
      </c>
      <c r="CJ6" s="54">
        <v>27.0</v>
      </c>
      <c r="CK6" s="54">
        <v>28.0</v>
      </c>
      <c r="CL6" s="54">
        <v>29.0</v>
      </c>
      <c r="CM6" s="54">
        <v>30.0</v>
      </c>
      <c r="CN6" s="54">
        <v>31.0</v>
      </c>
      <c r="CO6" s="58">
        <v>1.0</v>
      </c>
      <c r="CP6" s="58">
        <v>2.0</v>
      </c>
      <c r="CQ6" s="58">
        <v>3.0</v>
      </c>
      <c r="CR6" s="58">
        <v>4.0</v>
      </c>
      <c r="CS6" s="58">
        <v>5.0</v>
      </c>
      <c r="CT6" s="58">
        <v>6.0</v>
      </c>
      <c r="CU6" s="58">
        <v>7.0</v>
      </c>
      <c r="CV6" s="58">
        <v>8.0</v>
      </c>
      <c r="CW6" s="58">
        <v>9.0</v>
      </c>
      <c r="CX6" s="58">
        <v>10.0</v>
      </c>
      <c r="CY6" s="58">
        <v>11.0</v>
      </c>
      <c r="CZ6" s="58">
        <v>12.0</v>
      </c>
      <c r="DA6" s="58">
        <v>13.0</v>
      </c>
      <c r="DB6" s="58">
        <v>14.0</v>
      </c>
      <c r="DC6" s="58">
        <v>15.0</v>
      </c>
      <c r="DD6" s="58">
        <v>16.0</v>
      </c>
      <c r="DE6" s="58">
        <v>17.0</v>
      </c>
      <c r="DF6" s="58">
        <v>18.0</v>
      </c>
      <c r="DG6" s="58">
        <v>19.0</v>
      </c>
      <c r="DH6" s="58">
        <v>20.0</v>
      </c>
      <c r="DI6" s="58">
        <v>21.0</v>
      </c>
      <c r="DJ6" s="58">
        <v>22.0</v>
      </c>
      <c r="DK6" s="58">
        <v>23.0</v>
      </c>
      <c r="DL6" s="58">
        <v>24.0</v>
      </c>
      <c r="DM6" s="58">
        <v>25.0</v>
      </c>
      <c r="DN6" s="58">
        <v>26.0</v>
      </c>
      <c r="DO6" s="58">
        <v>27.0</v>
      </c>
      <c r="DP6" s="58">
        <v>28.0</v>
      </c>
      <c r="DQ6" s="58">
        <v>29.0</v>
      </c>
      <c r="DR6" s="58">
        <v>30.0</v>
      </c>
      <c r="DS6" s="56">
        <v>1.0</v>
      </c>
      <c r="DT6" s="56">
        <v>2.0</v>
      </c>
      <c r="DU6" s="56">
        <v>3.0</v>
      </c>
      <c r="DV6" s="56">
        <v>4.0</v>
      </c>
      <c r="DW6" s="56">
        <v>5.0</v>
      </c>
      <c r="DX6" s="56">
        <v>6.0</v>
      </c>
      <c r="DY6" s="56">
        <v>7.0</v>
      </c>
      <c r="DZ6" s="56">
        <v>8.0</v>
      </c>
      <c r="EA6" s="56">
        <v>9.0</v>
      </c>
      <c r="EB6" s="56">
        <v>10.0</v>
      </c>
      <c r="EC6" s="56">
        <v>11.0</v>
      </c>
      <c r="ED6" s="56">
        <v>12.0</v>
      </c>
      <c r="EE6" s="56">
        <v>13.0</v>
      </c>
      <c r="EF6" s="56">
        <v>14.0</v>
      </c>
      <c r="EG6" s="56">
        <v>15.0</v>
      </c>
      <c r="EH6" s="56">
        <v>16.0</v>
      </c>
      <c r="EI6" s="56">
        <v>17.0</v>
      </c>
      <c r="EJ6" s="56">
        <v>18.0</v>
      </c>
      <c r="EK6" s="56">
        <v>19.0</v>
      </c>
      <c r="EL6" s="56">
        <v>20.0</v>
      </c>
      <c r="EM6" s="56">
        <v>21.0</v>
      </c>
      <c r="EN6" s="56">
        <v>22.0</v>
      </c>
      <c r="EO6" s="56">
        <v>23.0</v>
      </c>
      <c r="EP6" s="56">
        <v>24.0</v>
      </c>
      <c r="EQ6" s="56">
        <v>25.0</v>
      </c>
      <c r="ER6" s="56">
        <v>26.0</v>
      </c>
      <c r="ES6" s="56">
        <v>27.0</v>
      </c>
      <c r="ET6" s="56">
        <v>28.0</v>
      </c>
      <c r="EU6" s="56">
        <v>29.0</v>
      </c>
      <c r="EV6" s="56">
        <v>30.0</v>
      </c>
      <c r="EW6" s="56">
        <v>31.0</v>
      </c>
      <c r="EX6" s="56">
        <v>1.0</v>
      </c>
      <c r="EY6" s="56">
        <v>2.0</v>
      </c>
      <c r="EZ6" s="56">
        <v>3.0</v>
      </c>
      <c r="FA6" s="56">
        <v>4.0</v>
      </c>
      <c r="FB6" s="56">
        <v>5.0</v>
      </c>
      <c r="FC6" s="56">
        <v>6.0</v>
      </c>
      <c r="FD6" s="56">
        <v>7.0</v>
      </c>
      <c r="FE6" s="56">
        <v>8.0</v>
      </c>
      <c r="FF6" s="56">
        <v>9.0</v>
      </c>
      <c r="FG6" s="56">
        <v>10.0</v>
      </c>
      <c r="FH6" s="56">
        <v>11.0</v>
      </c>
      <c r="FI6" s="56">
        <v>12.0</v>
      </c>
      <c r="FJ6" s="56">
        <v>13.0</v>
      </c>
      <c r="FK6" s="56">
        <v>14.0</v>
      </c>
      <c r="FL6" s="56">
        <v>15.0</v>
      </c>
      <c r="FM6" s="56">
        <v>16.0</v>
      </c>
      <c r="FN6" s="56">
        <v>17.0</v>
      </c>
      <c r="FO6" s="56">
        <v>18.0</v>
      </c>
      <c r="FP6" s="56">
        <v>19.0</v>
      </c>
      <c r="FQ6" s="56">
        <v>20.0</v>
      </c>
      <c r="FR6" s="56">
        <v>21.0</v>
      </c>
      <c r="FS6" s="56">
        <v>22.0</v>
      </c>
      <c r="FT6" s="56">
        <v>23.0</v>
      </c>
      <c r="FU6" s="56">
        <v>24.0</v>
      </c>
      <c r="FV6" s="56">
        <v>25.0</v>
      </c>
      <c r="FW6" s="56">
        <v>26.0</v>
      </c>
      <c r="FX6" s="56">
        <v>27.0</v>
      </c>
      <c r="FY6" s="56">
        <v>28.0</v>
      </c>
      <c r="FZ6" s="56">
        <v>29.0</v>
      </c>
      <c r="GA6" s="59">
        <v>30.0</v>
      </c>
      <c r="GB6" s="60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</row>
    <row r="7" ht="27.75" customHeight="1">
      <c r="A7" s="1"/>
      <c r="B7" s="61"/>
      <c r="C7" s="62" t="s">
        <v>38</v>
      </c>
      <c r="D7" s="63" t="s">
        <v>39</v>
      </c>
      <c r="E7" s="62" t="s">
        <v>40</v>
      </c>
      <c r="F7" s="62" t="s">
        <v>41</v>
      </c>
      <c r="G7" s="62" t="s">
        <v>42</v>
      </c>
      <c r="H7" s="63" t="s">
        <v>43</v>
      </c>
      <c r="I7" s="62" t="s">
        <v>44</v>
      </c>
      <c r="J7" s="62" t="s">
        <v>38</v>
      </c>
      <c r="K7" s="62" t="s">
        <v>39</v>
      </c>
      <c r="L7" s="64" t="s">
        <v>40</v>
      </c>
      <c r="M7" s="62" t="s">
        <v>41</v>
      </c>
      <c r="N7" s="62" t="s">
        <v>42</v>
      </c>
      <c r="O7" s="62" t="s">
        <v>43</v>
      </c>
      <c r="P7" s="62" t="s">
        <v>44</v>
      </c>
      <c r="Q7" s="63" t="s">
        <v>38</v>
      </c>
      <c r="R7" s="62" t="s">
        <v>39</v>
      </c>
      <c r="S7" s="64" t="s">
        <v>40</v>
      </c>
      <c r="T7" s="62" t="s">
        <v>41</v>
      </c>
      <c r="U7" s="62" t="s">
        <v>42</v>
      </c>
      <c r="V7" s="63" t="s">
        <v>43</v>
      </c>
      <c r="W7" s="62" t="s">
        <v>44</v>
      </c>
      <c r="X7" s="62" t="s">
        <v>38</v>
      </c>
      <c r="Y7" s="62" t="s">
        <v>39</v>
      </c>
      <c r="Z7" s="62" t="s">
        <v>40</v>
      </c>
      <c r="AA7" s="63" t="s">
        <v>41</v>
      </c>
      <c r="AB7" s="62" t="s">
        <v>42</v>
      </c>
      <c r="AC7" s="62" t="s">
        <v>43</v>
      </c>
      <c r="AD7" s="62" t="s">
        <v>44</v>
      </c>
      <c r="AE7" s="62" t="s">
        <v>38</v>
      </c>
      <c r="AF7" s="64" t="s">
        <v>39</v>
      </c>
      <c r="AG7" s="62" t="s">
        <v>40</v>
      </c>
      <c r="AH7" s="62" t="s">
        <v>41</v>
      </c>
      <c r="AI7" s="62" t="s">
        <v>42</v>
      </c>
      <c r="AJ7" s="62" t="s">
        <v>43</v>
      </c>
      <c r="AK7" s="65" t="s">
        <v>44</v>
      </c>
      <c r="AL7" s="62" t="s">
        <v>38</v>
      </c>
      <c r="AM7" s="62" t="s">
        <v>39</v>
      </c>
      <c r="AN7" s="66" t="s">
        <v>40</v>
      </c>
      <c r="AO7" s="62" t="s">
        <v>41</v>
      </c>
      <c r="AP7" s="63" t="s">
        <v>42</v>
      </c>
      <c r="AQ7" s="62" t="s">
        <v>43</v>
      </c>
      <c r="AR7" s="65" t="s">
        <v>44</v>
      </c>
      <c r="AS7" s="62" t="s">
        <v>38</v>
      </c>
      <c r="AT7" s="62" t="s">
        <v>39</v>
      </c>
      <c r="AU7" s="64" t="s">
        <v>40</v>
      </c>
      <c r="AV7" s="62" t="s">
        <v>41</v>
      </c>
      <c r="AW7" s="62" t="s">
        <v>42</v>
      </c>
      <c r="AX7" s="62" t="s">
        <v>43</v>
      </c>
      <c r="AY7" s="65" t="s">
        <v>44</v>
      </c>
      <c r="AZ7" s="63" t="s">
        <v>38</v>
      </c>
      <c r="BA7" s="62" t="s">
        <v>39</v>
      </c>
      <c r="BB7" s="62" t="s">
        <v>40</v>
      </c>
      <c r="BC7" s="62" t="s">
        <v>41</v>
      </c>
      <c r="BD7" s="62" t="s">
        <v>42</v>
      </c>
      <c r="BE7" s="63" t="s">
        <v>43</v>
      </c>
      <c r="BF7" s="62" t="s">
        <v>44</v>
      </c>
      <c r="BG7" s="62" t="s">
        <v>38</v>
      </c>
      <c r="BH7" s="66" t="s">
        <v>39</v>
      </c>
      <c r="BI7" s="62" t="s">
        <v>40</v>
      </c>
      <c r="BJ7" s="63" t="s">
        <v>41</v>
      </c>
      <c r="BK7" s="62" t="s">
        <v>42</v>
      </c>
      <c r="BL7" s="62" t="s">
        <v>43</v>
      </c>
      <c r="BM7" s="65" t="s">
        <v>44</v>
      </c>
      <c r="BN7" s="62" t="s">
        <v>38</v>
      </c>
      <c r="BO7" s="63" t="s">
        <v>39</v>
      </c>
      <c r="BP7" s="66" t="s">
        <v>40</v>
      </c>
      <c r="BQ7" s="62" t="s">
        <v>41</v>
      </c>
      <c r="BR7" s="62" t="s">
        <v>42</v>
      </c>
      <c r="BS7" s="62" t="s">
        <v>43</v>
      </c>
      <c r="BT7" s="65" t="s">
        <v>44</v>
      </c>
      <c r="BU7" s="62" t="s">
        <v>38</v>
      </c>
      <c r="BV7" s="62" t="s">
        <v>39</v>
      </c>
      <c r="BW7" s="66" t="s">
        <v>40</v>
      </c>
      <c r="BX7" s="62" t="s">
        <v>41</v>
      </c>
      <c r="BY7" s="63" t="s">
        <v>42</v>
      </c>
      <c r="BZ7" s="62" t="s">
        <v>43</v>
      </c>
      <c r="CA7" s="65" t="s">
        <v>44</v>
      </c>
      <c r="CB7" s="62" t="s">
        <v>38</v>
      </c>
      <c r="CC7" s="62" t="s">
        <v>39</v>
      </c>
      <c r="CD7" s="63" t="s">
        <v>40</v>
      </c>
      <c r="CE7" s="62" t="s">
        <v>41</v>
      </c>
      <c r="CF7" s="62" t="s">
        <v>42</v>
      </c>
      <c r="CG7" s="62" t="s">
        <v>43</v>
      </c>
      <c r="CH7" s="65" t="s">
        <v>44</v>
      </c>
      <c r="CI7" s="63" t="s">
        <v>38</v>
      </c>
      <c r="CJ7" s="66" t="s">
        <v>39</v>
      </c>
      <c r="CK7" s="62" t="s">
        <v>40</v>
      </c>
      <c r="CL7" s="62" t="s">
        <v>41</v>
      </c>
      <c r="CM7" s="62" t="s">
        <v>42</v>
      </c>
      <c r="CN7" s="63" t="s">
        <v>43</v>
      </c>
      <c r="CO7" s="62" t="s">
        <v>44</v>
      </c>
      <c r="CP7" s="62" t="s">
        <v>38</v>
      </c>
      <c r="CQ7" s="62" t="s">
        <v>39</v>
      </c>
      <c r="CR7" s="62" t="s">
        <v>40</v>
      </c>
      <c r="CS7" s="63" t="s">
        <v>41</v>
      </c>
      <c r="CT7" s="62" t="s">
        <v>42</v>
      </c>
      <c r="CU7" s="62" t="s">
        <v>43</v>
      </c>
      <c r="CV7" s="62" t="s">
        <v>44</v>
      </c>
      <c r="CW7" s="62" t="s">
        <v>38</v>
      </c>
      <c r="CX7" s="63" t="s">
        <v>39</v>
      </c>
      <c r="CY7" s="62" t="s">
        <v>40</v>
      </c>
      <c r="CZ7" s="62" t="s">
        <v>41</v>
      </c>
      <c r="DA7" s="62" t="s">
        <v>42</v>
      </c>
      <c r="DB7" s="62" t="s">
        <v>43</v>
      </c>
      <c r="DC7" s="65" t="s">
        <v>44</v>
      </c>
      <c r="DD7" s="62" t="s">
        <v>38</v>
      </c>
      <c r="DE7" s="62" t="s">
        <v>39</v>
      </c>
      <c r="DF7" s="67" t="s">
        <v>40</v>
      </c>
      <c r="DG7" s="62" t="s">
        <v>41</v>
      </c>
      <c r="DH7" s="63" t="s">
        <v>42</v>
      </c>
      <c r="DI7" s="62" t="s">
        <v>43</v>
      </c>
      <c r="DJ7" s="65" t="s">
        <v>44</v>
      </c>
      <c r="DK7" s="62" t="s">
        <v>38</v>
      </c>
      <c r="DL7" s="62" t="s">
        <v>39</v>
      </c>
      <c r="DM7" s="63" t="s">
        <v>40</v>
      </c>
      <c r="DN7" s="62" t="s">
        <v>41</v>
      </c>
      <c r="DO7" s="62" t="s">
        <v>42</v>
      </c>
      <c r="DP7" s="62" t="s">
        <v>43</v>
      </c>
      <c r="DQ7" s="62" t="s">
        <v>44</v>
      </c>
      <c r="DR7" s="63" t="s">
        <v>38</v>
      </c>
      <c r="DS7" s="62" t="s">
        <v>39</v>
      </c>
      <c r="DT7" s="62" t="s">
        <v>40</v>
      </c>
      <c r="DU7" s="62" t="s">
        <v>41</v>
      </c>
      <c r="DV7" s="62" t="s">
        <v>42</v>
      </c>
      <c r="DW7" s="63" t="s">
        <v>43</v>
      </c>
      <c r="DX7" s="62" t="s">
        <v>44</v>
      </c>
      <c r="DY7" s="62" t="s">
        <v>38</v>
      </c>
      <c r="DZ7" s="62" t="s">
        <v>39</v>
      </c>
      <c r="EA7" s="62" t="s">
        <v>40</v>
      </c>
      <c r="EB7" s="63" t="s">
        <v>41</v>
      </c>
      <c r="EC7" s="62" t="s">
        <v>42</v>
      </c>
      <c r="ED7" s="62" t="s">
        <v>43</v>
      </c>
      <c r="EE7" s="62" t="s">
        <v>44</v>
      </c>
      <c r="EF7" s="62" t="s">
        <v>38</v>
      </c>
      <c r="EG7" s="63" t="s">
        <v>39</v>
      </c>
      <c r="EH7" s="62" t="s">
        <v>40</v>
      </c>
      <c r="EI7" s="62" t="s">
        <v>41</v>
      </c>
      <c r="EJ7" s="62" t="s">
        <v>42</v>
      </c>
      <c r="EK7" s="62" t="s">
        <v>43</v>
      </c>
      <c r="EL7" s="63" t="s">
        <v>44</v>
      </c>
      <c r="EM7" s="62" t="s">
        <v>38</v>
      </c>
      <c r="EN7" s="62" t="s">
        <v>39</v>
      </c>
      <c r="EO7" s="62" t="s">
        <v>40</v>
      </c>
      <c r="EP7" s="62" t="s">
        <v>41</v>
      </c>
      <c r="EQ7" s="63" t="s">
        <v>42</v>
      </c>
      <c r="ER7" s="62" t="s">
        <v>43</v>
      </c>
      <c r="ES7" s="62" t="s">
        <v>44</v>
      </c>
      <c r="ET7" s="62" t="s">
        <v>38</v>
      </c>
      <c r="EU7" s="62" t="s">
        <v>39</v>
      </c>
      <c r="EV7" s="63" t="s">
        <v>40</v>
      </c>
      <c r="EW7" s="62" t="s">
        <v>41</v>
      </c>
      <c r="EX7" s="62" t="s">
        <v>42</v>
      </c>
      <c r="EY7" s="62" t="s">
        <v>43</v>
      </c>
      <c r="EZ7" s="62" t="s">
        <v>44</v>
      </c>
      <c r="FA7" s="63" t="s">
        <v>38</v>
      </c>
      <c r="FB7" s="62" t="s">
        <v>39</v>
      </c>
      <c r="FC7" s="62" t="s">
        <v>40</v>
      </c>
      <c r="FD7" s="62" t="s">
        <v>41</v>
      </c>
      <c r="FE7" s="62" t="s">
        <v>42</v>
      </c>
      <c r="FF7" s="63" t="s">
        <v>43</v>
      </c>
      <c r="FG7" s="62" t="s">
        <v>44</v>
      </c>
      <c r="FH7" s="62" t="s">
        <v>38</v>
      </c>
      <c r="FI7" s="62" t="s">
        <v>39</v>
      </c>
      <c r="FJ7" s="62" t="s">
        <v>40</v>
      </c>
      <c r="FK7" s="63" t="s">
        <v>41</v>
      </c>
      <c r="FL7" s="62" t="s">
        <v>42</v>
      </c>
      <c r="FM7" s="62" t="s">
        <v>43</v>
      </c>
      <c r="FN7" s="62" t="s">
        <v>44</v>
      </c>
      <c r="FO7" s="62" t="s">
        <v>38</v>
      </c>
      <c r="FP7" s="63" t="s">
        <v>39</v>
      </c>
      <c r="FQ7" s="62" t="s">
        <v>40</v>
      </c>
      <c r="FR7" s="62" t="s">
        <v>41</v>
      </c>
      <c r="FS7" s="62" t="s">
        <v>42</v>
      </c>
      <c r="FT7" s="62" t="s">
        <v>43</v>
      </c>
      <c r="FU7" s="63" t="s">
        <v>44</v>
      </c>
      <c r="FV7" s="62" t="s">
        <v>38</v>
      </c>
      <c r="FW7" s="62" t="s">
        <v>39</v>
      </c>
      <c r="FX7" s="62" t="s">
        <v>40</v>
      </c>
      <c r="FY7" s="62" t="s">
        <v>41</v>
      </c>
      <c r="FZ7" s="63" t="s">
        <v>42</v>
      </c>
      <c r="GA7" s="62" t="s">
        <v>43</v>
      </c>
      <c r="GB7" s="60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</row>
    <row r="8" ht="27.75" customHeight="1">
      <c r="A8" s="1"/>
      <c r="B8" s="68" t="s">
        <v>45</v>
      </c>
      <c r="C8" s="69"/>
      <c r="D8" s="70" t="s">
        <v>46</v>
      </c>
      <c r="E8" s="71"/>
      <c r="F8" s="71"/>
      <c r="G8" s="70" t="s">
        <v>47</v>
      </c>
      <c r="H8" s="72"/>
      <c r="I8" s="73" t="s">
        <v>48</v>
      </c>
      <c r="J8" s="73" t="s">
        <v>48</v>
      </c>
      <c r="K8" s="74" t="s">
        <v>49</v>
      </c>
      <c r="L8" s="71"/>
      <c r="M8" s="71"/>
      <c r="N8" s="75" t="s">
        <v>50</v>
      </c>
      <c r="O8" s="75" t="s">
        <v>50</v>
      </c>
      <c r="P8" s="75" t="s">
        <v>50</v>
      </c>
      <c r="Q8" s="75" t="s">
        <v>50</v>
      </c>
      <c r="R8" s="75" t="s">
        <v>50</v>
      </c>
      <c r="S8" s="71"/>
      <c r="T8" s="71"/>
      <c r="U8" s="76" t="s">
        <v>51</v>
      </c>
      <c r="V8" s="77" t="s">
        <v>51</v>
      </c>
      <c r="W8" s="76" t="s">
        <v>51</v>
      </c>
      <c r="X8" s="76" t="s">
        <v>51</v>
      </c>
      <c r="Y8" s="76" t="s">
        <v>51</v>
      </c>
      <c r="Z8" s="71"/>
      <c r="AA8" s="71"/>
      <c r="AB8" s="78" t="s">
        <v>52</v>
      </c>
      <c r="AC8" s="79" t="s">
        <v>51</v>
      </c>
      <c r="AD8" s="80" t="s">
        <v>53</v>
      </c>
      <c r="AE8" s="78" t="s">
        <v>52</v>
      </c>
      <c r="AF8" s="80" t="s">
        <v>53</v>
      </c>
      <c r="AG8" s="71"/>
      <c r="AH8" s="73" t="s">
        <v>48</v>
      </c>
      <c r="AI8" s="73" t="s">
        <v>48</v>
      </c>
      <c r="AJ8" s="73" t="s">
        <v>48</v>
      </c>
      <c r="AK8" s="73" t="s">
        <v>48</v>
      </c>
      <c r="AL8" s="73" t="s">
        <v>48</v>
      </c>
      <c r="AM8" s="81" t="s">
        <v>54</v>
      </c>
      <c r="AN8" s="71"/>
      <c r="AO8" s="71"/>
      <c r="AP8" s="75" t="s">
        <v>50</v>
      </c>
      <c r="AQ8" s="75" t="s">
        <v>50</v>
      </c>
      <c r="AR8" s="75" t="s">
        <v>50</v>
      </c>
      <c r="AS8" s="75" t="s">
        <v>50</v>
      </c>
      <c r="AT8" s="75" t="s">
        <v>50</v>
      </c>
      <c r="AU8" s="71"/>
      <c r="AV8" s="71"/>
      <c r="AW8" s="76" t="s">
        <v>51</v>
      </c>
      <c r="AX8" s="77" t="s">
        <v>51</v>
      </c>
      <c r="AY8" s="82" t="s">
        <v>55</v>
      </c>
      <c r="AZ8" s="80" t="s">
        <v>53</v>
      </c>
      <c r="BA8" s="76" t="s">
        <v>56</v>
      </c>
      <c r="BB8" s="71"/>
      <c r="BC8" s="71"/>
      <c r="BD8" s="76" t="s">
        <v>56</v>
      </c>
      <c r="BE8" s="76" t="s">
        <v>56</v>
      </c>
      <c r="BF8" s="76" t="s">
        <v>56</v>
      </c>
      <c r="BG8" s="76" t="s">
        <v>56</v>
      </c>
      <c r="BH8" s="76" t="s">
        <v>56</v>
      </c>
      <c r="BI8" s="71"/>
      <c r="BJ8" s="71"/>
      <c r="BK8" s="83" t="s">
        <v>57</v>
      </c>
      <c r="BL8" s="83" t="s">
        <v>57</v>
      </c>
      <c r="BM8" s="83" t="s">
        <v>57</v>
      </c>
      <c r="BN8" s="80" t="s">
        <v>53</v>
      </c>
      <c r="BO8" s="80" t="s">
        <v>53</v>
      </c>
      <c r="BP8" s="71"/>
      <c r="BQ8" s="73" t="s">
        <v>48</v>
      </c>
      <c r="BR8" s="73" t="s">
        <v>48</v>
      </c>
      <c r="BS8" s="73" t="s">
        <v>48</v>
      </c>
      <c r="BT8" s="73" t="s">
        <v>48</v>
      </c>
      <c r="BU8" s="73" t="s">
        <v>48</v>
      </c>
      <c r="BV8" s="81" t="s">
        <v>54</v>
      </c>
      <c r="BW8" s="71"/>
      <c r="BX8" s="71"/>
      <c r="BY8" s="84"/>
      <c r="BZ8" s="76"/>
      <c r="CA8" s="82" t="s">
        <v>55</v>
      </c>
      <c r="CB8" s="83" t="s">
        <v>57</v>
      </c>
      <c r="CC8" s="83" t="s">
        <v>57</v>
      </c>
      <c r="CD8" s="71"/>
      <c r="CE8" s="71"/>
      <c r="CF8" s="76" t="s">
        <v>56</v>
      </c>
      <c r="CG8" s="76" t="s">
        <v>56</v>
      </c>
      <c r="CH8" s="76" t="s">
        <v>56</v>
      </c>
      <c r="CI8" s="76" t="s">
        <v>56</v>
      </c>
      <c r="CJ8" s="76" t="s">
        <v>56</v>
      </c>
      <c r="CK8" s="71"/>
      <c r="CL8" s="71"/>
      <c r="CM8" s="84"/>
      <c r="CN8" s="76"/>
      <c r="CO8" s="76"/>
      <c r="CP8" s="76"/>
      <c r="CQ8" s="85"/>
      <c r="CR8" s="71"/>
      <c r="CS8" s="85"/>
      <c r="CT8" s="85"/>
      <c r="CU8" s="73" t="s">
        <v>48</v>
      </c>
      <c r="CV8" s="73" t="s">
        <v>48</v>
      </c>
      <c r="CW8" s="73" t="s">
        <v>48</v>
      </c>
      <c r="CX8" s="81" t="s">
        <v>54</v>
      </c>
      <c r="CY8" s="71"/>
      <c r="CZ8" s="71"/>
      <c r="DA8" s="75" t="s">
        <v>50</v>
      </c>
      <c r="DB8" s="75" t="s">
        <v>50</v>
      </c>
      <c r="DC8" s="75" t="s">
        <v>50</v>
      </c>
      <c r="DD8" s="75" t="s">
        <v>50</v>
      </c>
      <c r="DE8" s="75" t="s">
        <v>50</v>
      </c>
      <c r="DF8" s="86"/>
      <c r="DG8" s="71"/>
      <c r="DH8" s="76" t="s">
        <v>56</v>
      </c>
      <c r="DI8" s="76" t="s">
        <v>56</v>
      </c>
      <c r="DJ8" s="76" t="s">
        <v>56</v>
      </c>
      <c r="DK8" s="76" t="s">
        <v>56</v>
      </c>
      <c r="DL8" s="76" t="s">
        <v>56</v>
      </c>
      <c r="DM8" s="71"/>
      <c r="DN8" s="71"/>
      <c r="DO8" s="84"/>
      <c r="DP8" s="75"/>
      <c r="DQ8" s="75"/>
      <c r="DR8" s="75"/>
      <c r="DS8" s="87"/>
      <c r="DT8" s="71"/>
      <c r="DU8" s="71"/>
      <c r="DV8" s="88"/>
      <c r="DW8" s="88"/>
      <c r="DX8" s="88"/>
      <c r="DY8" s="88"/>
      <c r="DZ8" s="88"/>
      <c r="EA8" s="71"/>
      <c r="EB8" s="71"/>
      <c r="EC8" s="84"/>
      <c r="ED8" s="75"/>
      <c r="EE8" s="75"/>
      <c r="EF8" s="85"/>
      <c r="EG8" s="75"/>
      <c r="EH8" s="71"/>
      <c r="EI8" s="73" t="s">
        <v>48</v>
      </c>
      <c r="EJ8" s="73" t="s">
        <v>48</v>
      </c>
      <c r="EK8" s="73" t="s">
        <v>48</v>
      </c>
      <c r="EL8" s="73" t="s">
        <v>48</v>
      </c>
      <c r="EM8" s="73" t="s">
        <v>48</v>
      </c>
      <c r="EN8" s="81" t="s">
        <v>54</v>
      </c>
      <c r="EO8" s="71"/>
      <c r="EP8" s="85"/>
      <c r="EQ8" s="85"/>
      <c r="ER8" s="89" t="s">
        <v>58</v>
      </c>
      <c r="ES8" s="89" t="s">
        <v>58</v>
      </c>
      <c r="ET8" s="89" t="s">
        <v>58</v>
      </c>
      <c r="EU8" s="89" t="s">
        <v>58</v>
      </c>
      <c r="EV8" s="71"/>
      <c r="EW8" s="71"/>
      <c r="EX8" s="89" t="s">
        <v>58</v>
      </c>
      <c r="EY8" s="89" t="s">
        <v>58</v>
      </c>
      <c r="EZ8" s="89" t="s">
        <v>58</v>
      </c>
      <c r="FA8" s="85"/>
      <c r="FB8" s="89" t="s">
        <v>58</v>
      </c>
      <c r="FC8" s="71"/>
      <c r="FD8" s="71"/>
      <c r="FE8" s="90"/>
      <c r="FF8" s="90"/>
      <c r="FG8" s="90"/>
      <c r="FH8" s="90"/>
      <c r="FI8" s="90"/>
      <c r="FJ8" s="71"/>
      <c r="FK8" s="71"/>
      <c r="FL8" s="84"/>
      <c r="FM8" s="91"/>
      <c r="FN8" s="91"/>
      <c r="FO8" s="91"/>
      <c r="FP8" s="91"/>
      <c r="FQ8" s="71"/>
      <c r="FR8" s="71"/>
      <c r="FS8" s="84"/>
      <c r="FT8" s="76"/>
      <c r="FU8" s="92"/>
      <c r="FV8" s="92"/>
      <c r="FW8" s="76"/>
      <c r="FX8" s="71"/>
      <c r="FY8" s="73" t="s">
        <v>48</v>
      </c>
      <c r="FZ8" s="73" t="s">
        <v>48</v>
      </c>
      <c r="GA8" s="73" t="s">
        <v>48</v>
      </c>
      <c r="GB8" s="93"/>
      <c r="GC8" s="94"/>
      <c r="GD8" s="94"/>
      <c r="GE8" s="9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</row>
    <row r="9" ht="27.75" customHeight="1">
      <c r="A9" s="1"/>
      <c r="B9" s="95" t="s">
        <v>59</v>
      </c>
      <c r="C9" s="96"/>
      <c r="D9" s="70" t="s">
        <v>60</v>
      </c>
      <c r="E9" s="71"/>
      <c r="F9" s="71"/>
      <c r="G9" s="81" t="s">
        <v>54</v>
      </c>
      <c r="H9" s="97"/>
      <c r="I9" s="77" t="s">
        <v>51</v>
      </c>
      <c r="J9" s="76" t="s">
        <v>51</v>
      </c>
      <c r="K9" s="76" t="s">
        <v>51</v>
      </c>
      <c r="L9" s="98" t="s">
        <v>56</v>
      </c>
      <c r="M9" s="73" t="s">
        <v>48</v>
      </c>
      <c r="N9" s="73" t="s">
        <v>48</v>
      </c>
      <c r="O9" s="73" t="s">
        <v>48</v>
      </c>
      <c r="P9" s="73" t="s">
        <v>48</v>
      </c>
      <c r="Q9" s="73" t="s">
        <v>48</v>
      </c>
      <c r="R9" s="81" t="s">
        <v>54</v>
      </c>
      <c r="S9" s="71"/>
      <c r="T9" s="71"/>
      <c r="U9" s="75" t="s">
        <v>50</v>
      </c>
      <c r="V9" s="75" t="s">
        <v>50</v>
      </c>
      <c r="W9" s="75" t="s">
        <v>50</v>
      </c>
      <c r="X9" s="75" t="s">
        <v>50</v>
      </c>
      <c r="Y9" s="75" t="s">
        <v>50</v>
      </c>
      <c r="Z9" s="71"/>
      <c r="AA9" s="71"/>
      <c r="AB9" s="76" t="s">
        <v>56</v>
      </c>
      <c r="AC9" s="76" t="s">
        <v>56</v>
      </c>
      <c r="AD9" s="76" t="s">
        <v>56</v>
      </c>
      <c r="AE9" s="76" t="s">
        <v>56</v>
      </c>
      <c r="AF9" s="76" t="s">
        <v>56</v>
      </c>
      <c r="AG9" s="71"/>
      <c r="AH9" s="71"/>
      <c r="AI9" s="78" t="s">
        <v>52</v>
      </c>
      <c r="AJ9" s="77" t="s">
        <v>51</v>
      </c>
      <c r="AK9" s="76" t="s">
        <v>51</v>
      </c>
      <c r="AL9" s="78" t="s">
        <v>52</v>
      </c>
      <c r="AM9" s="76" t="s">
        <v>56</v>
      </c>
      <c r="AN9" s="71"/>
      <c r="AO9" s="73" t="s">
        <v>48</v>
      </c>
      <c r="AP9" s="73" t="s">
        <v>48</v>
      </c>
      <c r="AQ9" s="73" t="s">
        <v>48</v>
      </c>
      <c r="AR9" s="73" t="s">
        <v>48</v>
      </c>
      <c r="AS9" s="73" t="s">
        <v>48</v>
      </c>
      <c r="AT9" s="81" t="s">
        <v>54</v>
      </c>
      <c r="AU9" s="71"/>
      <c r="AV9" s="71"/>
      <c r="AW9" s="75" t="s">
        <v>50</v>
      </c>
      <c r="AX9" s="75" t="s">
        <v>50</v>
      </c>
      <c r="AY9" s="75" t="s">
        <v>50</v>
      </c>
      <c r="AZ9" s="75" t="s">
        <v>50</v>
      </c>
      <c r="BA9" s="75" t="s">
        <v>50</v>
      </c>
      <c r="BB9" s="71"/>
      <c r="BC9" s="73" t="s">
        <v>48</v>
      </c>
      <c r="BD9" s="73" t="s">
        <v>48</v>
      </c>
      <c r="BE9" s="73" t="s">
        <v>48</v>
      </c>
      <c r="BF9" s="73" t="s">
        <v>48</v>
      </c>
      <c r="BG9" s="73" t="s">
        <v>48</v>
      </c>
      <c r="BH9" s="99" t="s">
        <v>48</v>
      </c>
      <c r="BI9" s="71"/>
      <c r="BJ9" s="71"/>
      <c r="BK9" s="75" t="s">
        <v>50</v>
      </c>
      <c r="BL9" s="75" t="s">
        <v>50</v>
      </c>
      <c r="BM9" s="75" t="s">
        <v>50</v>
      </c>
      <c r="BN9" s="75" t="s">
        <v>50</v>
      </c>
      <c r="BO9" s="75" t="s">
        <v>50</v>
      </c>
      <c r="BP9" s="71"/>
      <c r="BQ9" s="71"/>
      <c r="BR9" s="84"/>
      <c r="BS9" s="100"/>
      <c r="BT9" s="100"/>
      <c r="BU9" s="100"/>
      <c r="BV9" s="100"/>
      <c r="BW9" s="71"/>
      <c r="BX9" s="71"/>
      <c r="BY9" s="75"/>
      <c r="BZ9" s="75"/>
      <c r="CA9" s="75"/>
      <c r="CB9" s="83" t="s">
        <v>57</v>
      </c>
      <c r="CC9" s="83" t="s">
        <v>57</v>
      </c>
      <c r="CD9" s="71"/>
      <c r="CE9" s="71"/>
      <c r="CF9" s="88"/>
      <c r="CG9" s="88"/>
      <c r="CH9" s="82" t="s">
        <v>55</v>
      </c>
      <c r="CI9" s="89" t="s">
        <v>58</v>
      </c>
      <c r="CJ9" s="89" t="s">
        <v>58</v>
      </c>
      <c r="CK9" s="71"/>
      <c r="CL9" s="71"/>
      <c r="CM9" s="89" t="s">
        <v>58</v>
      </c>
      <c r="CN9" s="89" t="s">
        <v>58</v>
      </c>
      <c r="CO9" s="89" t="s">
        <v>58</v>
      </c>
      <c r="CP9" s="89" t="s">
        <v>58</v>
      </c>
      <c r="CQ9" s="97"/>
      <c r="CR9" s="71"/>
      <c r="CS9" s="97"/>
      <c r="CT9" s="97"/>
      <c r="CU9" s="89" t="s">
        <v>58</v>
      </c>
      <c r="CV9" s="89" t="s">
        <v>58</v>
      </c>
      <c r="CW9" s="89" t="s">
        <v>58</v>
      </c>
      <c r="CX9" s="89" t="s">
        <v>58</v>
      </c>
      <c r="CY9" s="71"/>
      <c r="CZ9" s="73" t="s">
        <v>48</v>
      </c>
      <c r="DA9" s="73" t="s">
        <v>48</v>
      </c>
      <c r="DB9" s="73" t="s">
        <v>48</v>
      </c>
      <c r="DC9" s="73" t="s">
        <v>48</v>
      </c>
      <c r="DD9" s="73" t="s">
        <v>48</v>
      </c>
      <c r="DE9" s="81" t="s">
        <v>54</v>
      </c>
      <c r="DF9" s="86"/>
      <c r="DG9" s="71"/>
      <c r="DH9" s="84"/>
      <c r="DI9" s="76"/>
      <c r="DJ9" s="76"/>
      <c r="DK9" s="89" t="s">
        <v>58</v>
      </c>
      <c r="DL9" s="89" t="s">
        <v>58</v>
      </c>
      <c r="DM9" s="71"/>
      <c r="DN9" s="71"/>
      <c r="DO9" s="75"/>
      <c r="DP9" s="75"/>
      <c r="DQ9" s="75"/>
      <c r="DR9" s="75"/>
      <c r="DS9" s="97"/>
      <c r="DT9" s="71"/>
      <c r="DU9" s="71"/>
      <c r="DV9" s="84"/>
      <c r="DW9" s="75"/>
      <c r="DX9" s="75"/>
      <c r="DY9" s="75"/>
      <c r="DZ9" s="75"/>
      <c r="EA9" s="71"/>
      <c r="EB9" s="71"/>
      <c r="EC9" s="84"/>
      <c r="ED9" s="80"/>
      <c r="EE9" s="75"/>
      <c r="EF9" s="97"/>
      <c r="EG9" s="101"/>
      <c r="EH9" s="71"/>
      <c r="EI9" s="71"/>
      <c r="EJ9" s="75" t="s">
        <v>50</v>
      </c>
      <c r="EK9" s="75" t="s">
        <v>50</v>
      </c>
      <c r="EL9" s="75" t="s">
        <v>50</v>
      </c>
      <c r="EM9" s="75" t="s">
        <v>50</v>
      </c>
      <c r="EN9" s="75" t="s">
        <v>50</v>
      </c>
      <c r="EO9" s="71"/>
      <c r="EP9" s="97"/>
      <c r="EQ9" s="97"/>
      <c r="ER9" s="75"/>
      <c r="ES9" s="75"/>
      <c r="ET9" s="75"/>
      <c r="EU9" s="75"/>
      <c r="EV9" s="71"/>
      <c r="EW9" s="73" t="s">
        <v>48</v>
      </c>
      <c r="EX9" s="73" t="s">
        <v>48</v>
      </c>
      <c r="EY9" s="73" t="s">
        <v>48</v>
      </c>
      <c r="EZ9" s="73" t="s">
        <v>48</v>
      </c>
      <c r="FA9" s="97"/>
      <c r="FB9" s="81" t="s">
        <v>54</v>
      </c>
      <c r="FC9" s="71"/>
      <c r="FD9" s="71"/>
      <c r="FE9" s="75" t="s">
        <v>50</v>
      </c>
      <c r="FF9" s="75" t="s">
        <v>50</v>
      </c>
      <c r="FG9" s="75" t="s">
        <v>50</v>
      </c>
      <c r="FH9" s="75" t="s">
        <v>50</v>
      </c>
      <c r="FI9" s="75" t="s">
        <v>50</v>
      </c>
      <c r="FJ9" s="71"/>
      <c r="FK9" s="71"/>
      <c r="FL9" s="84"/>
      <c r="FM9" s="91"/>
      <c r="FN9" s="91"/>
      <c r="FO9" s="91"/>
      <c r="FP9" s="91"/>
      <c r="FQ9" s="71"/>
      <c r="FR9" s="71"/>
      <c r="FS9" s="84"/>
      <c r="FT9" s="102"/>
      <c r="FU9" s="102"/>
      <c r="FV9" s="102"/>
      <c r="FW9" s="102"/>
      <c r="FX9" s="71"/>
      <c r="FY9" s="71"/>
      <c r="FZ9" s="89" t="s">
        <v>58</v>
      </c>
      <c r="GA9" s="89" t="s">
        <v>58</v>
      </c>
      <c r="GB9" s="93"/>
      <c r="GC9" s="94"/>
      <c r="GD9" s="94"/>
      <c r="GE9" s="9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</row>
    <row r="10" ht="27.75" customHeight="1">
      <c r="A10" s="1"/>
      <c r="B10" s="95" t="s">
        <v>61</v>
      </c>
      <c r="C10" s="96"/>
      <c r="D10" s="103"/>
      <c r="E10" s="71"/>
      <c r="F10" s="71"/>
      <c r="G10" s="103"/>
      <c r="H10" s="97"/>
      <c r="I10" s="103"/>
      <c r="J10" s="103"/>
      <c r="K10" s="103"/>
      <c r="L10" s="71"/>
      <c r="M10" s="71"/>
      <c r="N10" s="103"/>
      <c r="O10" s="103"/>
      <c r="P10" s="103"/>
      <c r="Q10" s="103"/>
      <c r="R10" s="103"/>
      <c r="S10" s="71"/>
      <c r="T10" s="71"/>
      <c r="U10" s="103"/>
      <c r="V10" s="103"/>
      <c r="W10" s="103"/>
      <c r="X10" s="103"/>
      <c r="Y10" s="103"/>
      <c r="Z10" s="71"/>
      <c r="AA10" s="71"/>
      <c r="AB10" s="103"/>
      <c r="AC10" s="103"/>
      <c r="AD10" s="103"/>
      <c r="AE10" s="103"/>
      <c r="AF10" s="103"/>
      <c r="AG10" s="71"/>
      <c r="AH10" s="71"/>
      <c r="AI10" s="103"/>
      <c r="AJ10" s="103"/>
      <c r="AK10" s="103"/>
      <c r="AL10" s="103"/>
      <c r="AM10" s="103"/>
      <c r="AN10" s="71"/>
      <c r="AO10" s="71"/>
      <c r="AP10" s="103"/>
      <c r="AQ10" s="103"/>
      <c r="AR10" s="103"/>
      <c r="AS10" s="103"/>
      <c r="AT10" s="103"/>
      <c r="AU10" s="71"/>
      <c r="AV10" s="71"/>
      <c r="AW10" s="103"/>
      <c r="AX10" s="103"/>
      <c r="AY10" s="103"/>
      <c r="AZ10" s="103"/>
      <c r="BA10" s="103"/>
      <c r="BB10" s="71"/>
      <c r="BC10" s="71"/>
      <c r="BD10" s="104" t="s">
        <v>62</v>
      </c>
      <c r="BE10" s="103"/>
      <c r="BF10" s="104" t="s">
        <v>62</v>
      </c>
      <c r="BG10" s="103"/>
      <c r="BH10" s="104" t="s">
        <v>62</v>
      </c>
      <c r="BI10" s="71"/>
      <c r="BJ10" s="71"/>
      <c r="BK10" s="104" t="s">
        <v>63</v>
      </c>
      <c r="BL10" s="104" t="s">
        <v>63</v>
      </c>
      <c r="BM10" s="104" t="s">
        <v>63</v>
      </c>
      <c r="BN10" s="104" t="s">
        <v>63</v>
      </c>
      <c r="BO10" s="104" t="s">
        <v>63</v>
      </c>
      <c r="BP10" s="71"/>
      <c r="BQ10" s="71"/>
      <c r="BR10" s="104" t="s">
        <v>64</v>
      </c>
      <c r="BS10" s="104" t="s">
        <v>64</v>
      </c>
      <c r="BT10" s="104" t="s">
        <v>64</v>
      </c>
      <c r="BU10" s="104" t="s">
        <v>64</v>
      </c>
      <c r="BV10" s="104" t="s">
        <v>64</v>
      </c>
      <c r="BW10" s="71"/>
      <c r="BX10" s="71"/>
      <c r="BY10" s="104" t="s">
        <v>65</v>
      </c>
      <c r="BZ10" s="104" t="s">
        <v>65</v>
      </c>
      <c r="CA10" s="104" t="s">
        <v>65</v>
      </c>
      <c r="CB10" s="104" t="s">
        <v>65</v>
      </c>
      <c r="CC10" s="104" t="s">
        <v>65</v>
      </c>
      <c r="CD10" s="71"/>
      <c r="CE10" s="71"/>
      <c r="CF10" s="84"/>
      <c r="CG10" s="100"/>
      <c r="CH10" s="79" t="s">
        <v>66</v>
      </c>
      <c r="CI10" s="100"/>
      <c r="CJ10" s="100"/>
      <c r="CK10" s="71"/>
      <c r="CL10" s="71"/>
      <c r="CM10" s="84"/>
      <c r="CN10" s="100"/>
      <c r="CO10" s="100"/>
      <c r="CP10" s="100"/>
      <c r="CQ10" s="97"/>
      <c r="CR10" s="71"/>
      <c r="CS10" s="97"/>
      <c r="CT10" s="97"/>
      <c r="CU10" s="100"/>
      <c r="CV10" s="100"/>
      <c r="CW10" s="100"/>
      <c r="CX10" s="76"/>
      <c r="CY10" s="71"/>
      <c r="CZ10" s="71"/>
      <c r="DA10" s="84"/>
      <c r="DB10" s="76"/>
      <c r="DC10" s="76"/>
      <c r="DD10" s="76"/>
      <c r="DE10" s="76"/>
      <c r="DF10" s="86"/>
      <c r="DG10" s="71"/>
      <c r="DH10" s="76"/>
      <c r="DI10" s="76"/>
      <c r="DJ10" s="76"/>
      <c r="DK10" s="76"/>
      <c r="DL10" s="76"/>
      <c r="DM10" s="71"/>
      <c r="DN10" s="71"/>
      <c r="DO10" s="84"/>
      <c r="DP10" s="76"/>
      <c r="DQ10" s="76"/>
      <c r="DR10" s="76"/>
      <c r="DS10" s="97"/>
      <c r="DT10" s="71"/>
      <c r="DU10" s="71"/>
      <c r="DV10" s="84"/>
      <c r="DW10" s="76"/>
      <c r="DX10" s="76"/>
      <c r="DY10" s="76"/>
      <c r="DZ10" s="75"/>
      <c r="EA10" s="71"/>
      <c r="EB10" s="71"/>
      <c r="EC10" s="84"/>
      <c r="ED10" s="76"/>
      <c r="EE10" s="76"/>
      <c r="EF10" s="97"/>
      <c r="EG10" s="76"/>
      <c r="EH10" s="71"/>
      <c r="EI10" s="71"/>
      <c r="EJ10" s="84"/>
      <c r="EK10" s="76"/>
      <c r="EL10" s="76"/>
      <c r="EM10" s="76"/>
      <c r="EN10" s="76"/>
      <c r="EO10" s="71"/>
      <c r="EP10" s="97"/>
      <c r="EQ10" s="97"/>
      <c r="ER10" s="76"/>
      <c r="ES10" s="76"/>
      <c r="ET10" s="76"/>
      <c r="EU10" s="76"/>
      <c r="EV10" s="71"/>
      <c r="EW10" s="71"/>
      <c r="EX10" s="84"/>
      <c r="EY10" s="102"/>
      <c r="EZ10" s="102"/>
      <c r="FA10" s="97"/>
      <c r="FB10" s="102"/>
      <c r="FC10" s="71"/>
      <c r="FD10" s="71"/>
      <c r="FE10" s="102"/>
      <c r="FF10" s="102"/>
      <c r="FG10" s="102"/>
      <c r="FH10" s="102"/>
      <c r="FI10" s="102"/>
      <c r="FJ10" s="71"/>
      <c r="FK10" s="71"/>
      <c r="FL10" s="84"/>
      <c r="FM10" s="76"/>
      <c r="FN10" s="76"/>
      <c r="FO10" s="76"/>
      <c r="FP10" s="76"/>
      <c r="FQ10" s="71"/>
      <c r="FR10" s="71"/>
      <c r="FS10" s="84"/>
      <c r="FT10" s="76"/>
      <c r="FU10" s="76"/>
      <c r="FV10" s="76"/>
      <c r="FW10" s="76"/>
      <c r="FX10" s="71"/>
      <c r="FY10" s="71"/>
      <c r="FZ10" s="84"/>
      <c r="GA10" s="76"/>
      <c r="GB10" s="93"/>
      <c r="GC10" s="94"/>
      <c r="GD10" s="94"/>
      <c r="GE10" s="9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</row>
    <row r="11" ht="27.75" customHeight="1">
      <c r="A11" s="1"/>
      <c r="B11" s="61" t="s">
        <v>67</v>
      </c>
      <c r="C11" s="96"/>
      <c r="D11" s="105" t="s">
        <v>66</v>
      </c>
      <c r="E11" s="71"/>
      <c r="F11" s="71"/>
      <c r="G11" s="105" t="s">
        <v>66</v>
      </c>
      <c r="H11" s="97"/>
      <c r="I11" s="80" t="s">
        <v>53</v>
      </c>
      <c r="J11" s="80" t="s">
        <v>53</v>
      </c>
      <c r="K11" s="80" t="s">
        <v>53</v>
      </c>
      <c r="L11" s="71"/>
      <c r="M11" s="71"/>
      <c r="N11" s="76" t="s">
        <v>56</v>
      </c>
      <c r="O11" s="76" t="s">
        <v>56</v>
      </c>
      <c r="P11" s="76" t="s">
        <v>56</v>
      </c>
      <c r="Q11" s="76" t="s">
        <v>56</v>
      </c>
      <c r="R11" s="76" t="s">
        <v>56</v>
      </c>
      <c r="S11" s="71"/>
      <c r="T11" s="73" t="s">
        <v>48</v>
      </c>
      <c r="U11" s="73" t="s">
        <v>48</v>
      </c>
      <c r="V11" s="73" t="s">
        <v>48</v>
      </c>
      <c r="W11" s="73" t="s">
        <v>48</v>
      </c>
      <c r="X11" s="73" t="s">
        <v>48</v>
      </c>
      <c r="Y11" s="81" t="s">
        <v>54</v>
      </c>
      <c r="Z11" s="71"/>
      <c r="AA11" s="71"/>
      <c r="AB11" s="75" t="s">
        <v>50</v>
      </c>
      <c r="AC11" s="75" t="s">
        <v>50</v>
      </c>
      <c r="AD11" s="75" t="s">
        <v>50</v>
      </c>
      <c r="AE11" s="75" t="s">
        <v>50</v>
      </c>
      <c r="AF11" s="75" t="s">
        <v>50</v>
      </c>
      <c r="AG11" s="71"/>
      <c r="AH11" s="71"/>
      <c r="AI11" s="76" t="s">
        <v>56</v>
      </c>
      <c r="AJ11" s="76" t="s">
        <v>56</v>
      </c>
      <c r="AK11" s="82" t="s">
        <v>55</v>
      </c>
      <c r="AL11" s="105" t="s">
        <v>66</v>
      </c>
      <c r="AM11" s="80" t="s">
        <v>66</v>
      </c>
      <c r="AN11" s="71"/>
      <c r="AO11" s="71"/>
      <c r="AP11" s="78" t="s">
        <v>52</v>
      </c>
      <c r="AQ11" s="106" t="s">
        <v>68</v>
      </c>
      <c r="AR11" s="82" t="s">
        <v>55</v>
      </c>
      <c r="AS11" s="78" t="s">
        <v>52</v>
      </c>
      <c r="AT11" s="80" t="s">
        <v>53</v>
      </c>
      <c r="AU11" s="71"/>
      <c r="AV11" s="73" t="s">
        <v>48</v>
      </c>
      <c r="AW11" s="73" t="s">
        <v>48</v>
      </c>
      <c r="AX11" s="73" t="s">
        <v>48</v>
      </c>
      <c r="AY11" s="73" t="s">
        <v>48</v>
      </c>
      <c r="AZ11" s="73" t="s">
        <v>48</v>
      </c>
      <c r="BA11" s="81" t="s">
        <v>54</v>
      </c>
      <c r="BB11" s="71"/>
      <c r="BC11" s="71"/>
      <c r="BD11" s="76" t="s">
        <v>51</v>
      </c>
      <c r="BE11" s="76" t="s">
        <v>51</v>
      </c>
      <c r="BF11" s="79" t="s">
        <v>66</v>
      </c>
      <c r="BG11" s="83" t="s">
        <v>57</v>
      </c>
      <c r="BH11" s="83" t="s">
        <v>57</v>
      </c>
      <c r="BI11" s="71"/>
      <c r="BJ11" s="107"/>
      <c r="BK11" s="78" t="s">
        <v>52</v>
      </c>
      <c r="BL11" s="88"/>
      <c r="BM11" s="82" t="s">
        <v>55</v>
      </c>
      <c r="BN11" s="78" t="s">
        <v>52</v>
      </c>
      <c r="BO11" s="108" t="s">
        <v>54</v>
      </c>
      <c r="BP11" s="98" t="s">
        <v>56</v>
      </c>
      <c r="BQ11" s="71"/>
      <c r="BR11" s="84"/>
      <c r="BS11" s="75"/>
      <c r="BT11" s="75"/>
      <c r="BU11" s="75"/>
      <c r="BV11" s="75"/>
      <c r="BW11" s="71"/>
      <c r="BX11" s="73" t="s">
        <v>48</v>
      </c>
      <c r="BY11" s="73" t="s">
        <v>48</v>
      </c>
      <c r="BZ11" s="73" t="s">
        <v>48</v>
      </c>
      <c r="CA11" s="73" t="s">
        <v>48</v>
      </c>
      <c r="CB11" s="73" t="s">
        <v>48</v>
      </c>
      <c r="CC11" s="81" t="s">
        <v>54</v>
      </c>
      <c r="CD11" s="71"/>
      <c r="CE11" s="71"/>
      <c r="CF11" s="89" t="s">
        <v>58</v>
      </c>
      <c r="CG11" s="89" t="s">
        <v>58</v>
      </c>
      <c r="CH11" s="75" t="s">
        <v>50</v>
      </c>
      <c r="CI11" s="75" t="s">
        <v>50</v>
      </c>
      <c r="CJ11" s="75" t="s">
        <v>50</v>
      </c>
      <c r="CK11" s="71"/>
      <c r="CL11" s="71"/>
      <c r="CM11" s="84"/>
      <c r="CN11" s="102"/>
      <c r="CO11" s="102"/>
      <c r="CP11" s="102"/>
      <c r="CQ11" s="97"/>
      <c r="CR11" s="71"/>
      <c r="CS11" s="97"/>
      <c r="CT11" s="97"/>
      <c r="CU11" s="88"/>
      <c r="CV11" s="88"/>
      <c r="CW11" s="88"/>
      <c r="CX11" s="88"/>
      <c r="CY11" s="109"/>
      <c r="CZ11" s="71"/>
      <c r="DA11" s="83" t="s">
        <v>57</v>
      </c>
      <c r="DB11" s="83" t="s">
        <v>57</v>
      </c>
      <c r="DC11" s="83" t="s">
        <v>57</v>
      </c>
      <c r="DD11" s="76"/>
      <c r="DE11" s="76"/>
      <c r="DF11" s="86"/>
      <c r="DG11" s="71"/>
      <c r="DH11" s="76"/>
      <c r="DI11" s="76"/>
      <c r="DJ11" s="82" t="s">
        <v>55</v>
      </c>
      <c r="DK11" s="76"/>
      <c r="DL11" s="110" t="s">
        <v>49</v>
      </c>
      <c r="DM11" s="71"/>
      <c r="DN11" s="73" t="s">
        <v>48</v>
      </c>
      <c r="DO11" s="73" t="s">
        <v>48</v>
      </c>
      <c r="DP11" s="73" t="s">
        <v>48</v>
      </c>
      <c r="DQ11" s="73" t="s">
        <v>48</v>
      </c>
      <c r="DR11" s="73" t="s">
        <v>48</v>
      </c>
      <c r="DS11" s="97"/>
      <c r="DT11" s="71"/>
      <c r="DU11" s="71"/>
      <c r="DV11" s="89" t="s">
        <v>58</v>
      </c>
      <c r="DW11" s="89" t="s">
        <v>58</v>
      </c>
      <c r="DX11" s="89" t="s">
        <v>58</v>
      </c>
      <c r="DY11" s="89" t="s">
        <v>58</v>
      </c>
      <c r="DZ11" s="89" t="s">
        <v>58</v>
      </c>
      <c r="EA11" s="71"/>
      <c r="EB11" s="71"/>
      <c r="EC11" s="84"/>
      <c r="ED11" s="75"/>
      <c r="EE11" s="75"/>
      <c r="EF11" s="97"/>
      <c r="EG11" s="89" t="s">
        <v>58</v>
      </c>
      <c r="EH11" s="71"/>
      <c r="EI11" s="71"/>
      <c r="EJ11" s="84"/>
      <c r="EK11" s="84"/>
      <c r="EL11" s="84"/>
      <c r="EM11" s="84"/>
      <c r="EN11" s="84"/>
      <c r="EO11" s="71"/>
      <c r="EP11" s="97"/>
      <c r="EQ11" s="97"/>
      <c r="ER11" s="73" t="s">
        <v>48</v>
      </c>
      <c r="ES11" s="73" t="s">
        <v>48</v>
      </c>
      <c r="ET11" s="73" t="s">
        <v>48</v>
      </c>
      <c r="EU11" s="81" t="s">
        <v>54</v>
      </c>
      <c r="EV11" s="71"/>
      <c r="EW11" s="71"/>
      <c r="EX11" s="75" t="s">
        <v>50</v>
      </c>
      <c r="EY11" s="75" t="s">
        <v>50</v>
      </c>
      <c r="EZ11" s="75" t="s">
        <v>50</v>
      </c>
      <c r="FA11" s="97"/>
      <c r="FB11" s="75" t="s">
        <v>50</v>
      </c>
      <c r="FC11" s="71"/>
      <c r="FD11" s="71"/>
      <c r="FE11" s="75"/>
      <c r="FF11" s="75"/>
      <c r="FG11" s="75"/>
      <c r="FH11" s="75"/>
      <c r="FI11" s="75"/>
      <c r="FJ11" s="71"/>
      <c r="FK11" s="71"/>
      <c r="FL11" s="89" t="s">
        <v>58</v>
      </c>
      <c r="FM11" s="89" t="s">
        <v>58</v>
      </c>
      <c r="FN11" s="89" t="s">
        <v>58</v>
      </c>
      <c r="FO11" s="89" t="s">
        <v>58</v>
      </c>
      <c r="FP11" s="89" t="s">
        <v>58</v>
      </c>
      <c r="FQ11" s="71"/>
      <c r="FR11" s="71"/>
      <c r="FS11" s="84"/>
      <c r="FT11" s="75"/>
      <c r="FU11" s="75"/>
      <c r="FV11" s="75"/>
      <c r="FW11" s="75"/>
      <c r="FX11" s="71"/>
      <c r="FY11" s="71"/>
      <c r="FZ11" s="89" t="s">
        <v>58</v>
      </c>
      <c r="GA11" s="111"/>
      <c r="GB11" s="93"/>
      <c r="GC11" s="94"/>
      <c r="GD11" s="94"/>
      <c r="GE11" s="9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</row>
    <row r="12" ht="27.75" customHeight="1">
      <c r="A12" s="1"/>
      <c r="B12" s="95" t="s">
        <v>69</v>
      </c>
      <c r="C12" s="96"/>
      <c r="D12" s="70" t="s">
        <v>70</v>
      </c>
      <c r="E12" s="71"/>
      <c r="F12" s="71"/>
      <c r="G12" s="70" t="s">
        <v>71</v>
      </c>
      <c r="H12" s="97"/>
      <c r="I12" s="75" t="s">
        <v>50</v>
      </c>
      <c r="J12" s="75" t="s">
        <v>50</v>
      </c>
      <c r="K12" s="75" t="s">
        <v>50</v>
      </c>
      <c r="L12" s="71"/>
      <c r="M12" s="71"/>
      <c r="N12" s="78" t="s">
        <v>52</v>
      </c>
      <c r="O12" s="80" t="s">
        <v>53</v>
      </c>
      <c r="P12" s="80" t="s">
        <v>53</v>
      </c>
      <c r="Q12" s="78" t="s">
        <v>52</v>
      </c>
      <c r="R12" s="80" t="s">
        <v>53</v>
      </c>
      <c r="S12" s="71"/>
      <c r="T12" s="71"/>
      <c r="U12" s="89" t="s">
        <v>58</v>
      </c>
      <c r="V12" s="89" t="s">
        <v>58</v>
      </c>
      <c r="W12" s="89" t="s">
        <v>58</v>
      </c>
      <c r="X12" s="89" t="s">
        <v>58</v>
      </c>
      <c r="Y12" s="89" t="s">
        <v>58</v>
      </c>
      <c r="Z12" s="71"/>
      <c r="AA12" s="73" t="s">
        <v>48</v>
      </c>
      <c r="AB12" s="73" t="s">
        <v>48</v>
      </c>
      <c r="AC12" s="73" t="s">
        <v>48</v>
      </c>
      <c r="AD12" s="73" t="s">
        <v>48</v>
      </c>
      <c r="AE12" s="73" t="s">
        <v>48</v>
      </c>
      <c r="AF12" s="99" t="s">
        <v>48</v>
      </c>
      <c r="AG12" s="71"/>
      <c r="AH12" s="71"/>
      <c r="AI12" s="75" t="s">
        <v>50</v>
      </c>
      <c r="AJ12" s="75" t="s">
        <v>50</v>
      </c>
      <c r="AK12" s="75" t="s">
        <v>50</v>
      </c>
      <c r="AL12" s="75" t="s">
        <v>50</v>
      </c>
      <c r="AM12" s="75" t="s">
        <v>50</v>
      </c>
      <c r="AN12" s="71"/>
      <c r="AO12" s="71"/>
      <c r="AP12" s="74" t="s">
        <v>49</v>
      </c>
      <c r="AQ12" s="81" t="s">
        <v>54</v>
      </c>
      <c r="AR12" s="80" t="s">
        <v>53</v>
      </c>
      <c r="AS12" s="80" t="s">
        <v>53</v>
      </c>
      <c r="AT12" s="80" t="s">
        <v>66</v>
      </c>
      <c r="AU12" s="98" t="s">
        <v>56</v>
      </c>
      <c r="AV12" s="71"/>
      <c r="AW12" s="76" t="s">
        <v>56</v>
      </c>
      <c r="AX12" s="76" t="s">
        <v>56</v>
      </c>
      <c r="AY12" s="76" t="s">
        <v>56</v>
      </c>
      <c r="AZ12" s="76" t="s">
        <v>56</v>
      </c>
      <c r="BA12" s="74" t="s">
        <v>49</v>
      </c>
      <c r="BB12" s="71"/>
      <c r="BC12" s="71"/>
      <c r="BD12" s="78" t="s">
        <v>52</v>
      </c>
      <c r="BE12" s="76" t="s">
        <v>66</v>
      </c>
      <c r="BF12" s="78" t="s">
        <v>52</v>
      </c>
      <c r="BG12" s="83" t="s">
        <v>57</v>
      </c>
      <c r="BH12" s="83" t="s">
        <v>57</v>
      </c>
      <c r="BI12" s="71"/>
      <c r="BJ12" s="112" t="s">
        <v>48</v>
      </c>
      <c r="BK12" s="112" t="s">
        <v>48</v>
      </c>
      <c r="BL12" s="112" t="s">
        <v>48</v>
      </c>
      <c r="BM12" s="112" t="s">
        <v>48</v>
      </c>
      <c r="BN12" s="112" t="s">
        <v>48</v>
      </c>
      <c r="BO12" s="108" t="s">
        <v>54</v>
      </c>
      <c r="BP12" s="71"/>
      <c r="BQ12" s="71"/>
      <c r="BR12" s="75" t="s">
        <v>50</v>
      </c>
      <c r="BS12" s="75" t="s">
        <v>50</v>
      </c>
      <c r="BT12" s="75" t="s">
        <v>50</v>
      </c>
      <c r="BU12" s="75" t="s">
        <v>50</v>
      </c>
      <c r="BV12" s="75" t="s">
        <v>50</v>
      </c>
      <c r="BW12" s="71"/>
      <c r="BX12" s="71"/>
      <c r="BY12" s="88"/>
      <c r="BZ12" s="88"/>
      <c r="CA12" s="88"/>
      <c r="CB12" s="88"/>
      <c r="CC12" s="88"/>
      <c r="CD12" s="71"/>
      <c r="CE12" s="73" t="s">
        <v>48</v>
      </c>
      <c r="CF12" s="73" t="s">
        <v>48</v>
      </c>
      <c r="CG12" s="73" t="s">
        <v>48</v>
      </c>
      <c r="CH12" s="73" t="s">
        <v>48</v>
      </c>
      <c r="CI12" s="73" t="s">
        <v>48</v>
      </c>
      <c r="CJ12" s="99" t="s">
        <v>48</v>
      </c>
      <c r="CK12" s="71"/>
      <c r="CL12" s="71"/>
      <c r="CM12" s="75" t="s">
        <v>50</v>
      </c>
      <c r="CN12" s="75" t="s">
        <v>50</v>
      </c>
      <c r="CO12" s="75" t="s">
        <v>50</v>
      </c>
      <c r="CP12" s="75" t="s">
        <v>50</v>
      </c>
      <c r="CQ12" s="97"/>
      <c r="CR12" s="71"/>
      <c r="CS12" s="97"/>
      <c r="CT12" s="97"/>
      <c r="CU12" s="76"/>
      <c r="CV12" s="76"/>
      <c r="CW12" s="76"/>
      <c r="CX12" s="76"/>
      <c r="CY12" s="71"/>
      <c r="CZ12" s="71"/>
      <c r="DA12" s="84"/>
      <c r="DB12" s="76"/>
      <c r="DC12" s="82" t="s">
        <v>55</v>
      </c>
      <c r="DD12" s="76"/>
      <c r="DE12" s="76"/>
      <c r="DF12" s="86"/>
      <c r="DG12" s="71"/>
      <c r="DH12" s="75" t="s">
        <v>50</v>
      </c>
      <c r="DI12" s="75" t="s">
        <v>50</v>
      </c>
      <c r="DJ12" s="75" t="s">
        <v>50</v>
      </c>
      <c r="DK12" s="75" t="s">
        <v>50</v>
      </c>
      <c r="DL12" s="75" t="s">
        <v>50</v>
      </c>
      <c r="DM12" s="71"/>
      <c r="DN12" s="71"/>
      <c r="DO12" s="89" t="s">
        <v>58</v>
      </c>
      <c r="DP12" s="89" t="s">
        <v>58</v>
      </c>
      <c r="DQ12" s="89" t="s">
        <v>58</v>
      </c>
      <c r="DR12" s="89" t="s">
        <v>58</v>
      </c>
      <c r="DS12" s="97"/>
      <c r="DT12" s="71"/>
      <c r="DU12" s="73" t="s">
        <v>48</v>
      </c>
      <c r="DV12" s="73" t="s">
        <v>48</v>
      </c>
      <c r="DW12" s="73" t="s">
        <v>48</v>
      </c>
      <c r="DX12" s="73" t="s">
        <v>48</v>
      </c>
      <c r="DY12" s="73" t="s">
        <v>48</v>
      </c>
      <c r="DZ12" s="81" t="s">
        <v>54</v>
      </c>
      <c r="EA12" s="71"/>
      <c r="EB12" s="71"/>
      <c r="EC12" s="75" t="s">
        <v>50</v>
      </c>
      <c r="ED12" s="75" t="s">
        <v>50</v>
      </c>
      <c r="EE12" s="75" t="s">
        <v>50</v>
      </c>
      <c r="EF12" s="97"/>
      <c r="EG12" s="75" t="s">
        <v>50</v>
      </c>
      <c r="EH12" s="71"/>
      <c r="EI12" s="71"/>
      <c r="EJ12" s="84"/>
      <c r="EK12" s="76"/>
      <c r="EL12" s="76"/>
      <c r="EM12" s="76"/>
      <c r="EN12" s="76"/>
      <c r="EO12" s="71"/>
      <c r="EP12" s="97"/>
      <c r="EQ12" s="97"/>
      <c r="ER12" s="76"/>
      <c r="ES12" s="76"/>
      <c r="ET12" s="76"/>
      <c r="EU12" s="76"/>
      <c r="EV12" s="71"/>
      <c r="EW12" s="71"/>
      <c r="EX12" s="84"/>
      <c r="EY12" s="76"/>
      <c r="EZ12" s="76"/>
      <c r="FA12" s="97"/>
      <c r="FB12" s="76"/>
      <c r="FC12" s="71"/>
      <c r="FD12" s="71"/>
      <c r="FE12" s="76"/>
      <c r="FF12" s="76"/>
      <c r="FG12" s="83" t="s">
        <v>57</v>
      </c>
      <c r="FH12" s="83" t="s">
        <v>57</v>
      </c>
      <c r="FI12" s="83" t="s">
        <v>57</v>
      </c>
      <c r="FJ12" s="71"/>
      <c r="FK12" s="73" t="s">
        <v>48</v>
      </c>
      <c r="FL12" s="73" t="s">
        <v>48</v>
      </c>
      <c r="FM12" s="73" t="s">
        <v>48</v>
      </c>
      <c r="FN12" s="73" t="s">
        <v>48</v>
      </c>
      <c r="FO12" s="73" t="s">
        <v>48</v>
      </c>
      <c r="FP12" s="81" t="s">
        <v>54</v>
      </c>
      <c r="FQ12" s="71"/>
      <c r="FR12" s="71"/>
      <c r="FS12" s="75" t="s">
        <v>50</v>
      </c>
      <c r="FT12" s="75" t="s">
        <v>50</v>
      </c>
      <c r="FU12" s="75" t="s">
        <v>50</v>
      </c>
      <c r="FV12" s="75" t="s">
        <v>50</v>
      </c>
      <c r="FW12" s="75" t="s">
        <v>50</v>
      </c>
      <c r="FX12" s="71"/>
      <c r="FY12" s="71"/>
      <c r="FZ12" s="84"/>
      <c r="GA12" s="113"/>
      <c r="GB12" s="93"/>
      <c r="GC12" s="94"/>
      <c r="GD12" s="94"/>
      <c r="GE12" s="9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</row>
    <row r="13" ht="27.75" customHeight="1">
      <c r="A13" s="1"/>
      <c r="B13" s="95" t="s">
        <v>72</v>
      </c>
      <c r="C13" s="96"/>
      <c r="D13" s="70" t="s">
        <v>73</v>
      </c>
      <c r="E13" s="71"/>
      <c r="F13" s="71"/>
      <c r="G13" s="74" t="s">
        <v>49</v>
      </c>
      <c r="H13" s="97"/>
      <c r="I13" s="76" t="s">
        <v>56</v>
      </c>
      <c r="J13" s="76" t="s">
        <v>56</v>
      </c>
      <c r="K13" s="76" t="s">
        <v>56</v>
      </c>
      <c r="L13" s="71"/>
      <c r="M13" s="71"/>
      <c r="N13" s="81" t="s">
        <v>54</v>
      </c>
      <c r="O13" s="77" t="s">
        <v>51</v>
      </c>
      <c r="P13" s="76" t="s">
        <v>51</v>
      </c>
      <c r="Q13" s="76" t="s">
        <v>51</v>
      </c>
      <c r="R13" s="76" t="s">
        <v>51</v>
      </c>
      <c r="S13" s="98" t="s">
        <v>56</v>
      </c>
      <c r="T13" s="71"/>
      <c r="U13" s="76" t="s">
        <v>56</v>
      </c>
      <c r="V13" s="76" t="s">
        <v>56</v>
      </c>
      <c r="W13" s="76" t="s">
        <v>56</v>
      </c>
      <c r="X13" s="76" t="s">
        <v>56</v>
      </c>
      <c r="Y13" s="76" t="s">
        <v>56</v>
      </c>
      <c r="Z13" s="71"/>
      <c r="AA13" s="71"/>
      <c r="AB13" s="78" t="s">
        <v>52</v>
      </c>
      <c r="AC13" s="80" t="s">
        <v>53</v>
      </c>
      <c r="AD13" s="80" t="s">
        <v>53</v>
      </c>
      <c r="AE13" s="78" t="s">
        <v>52</v>
      </c>
      <c r="AF13" s="80" t="s">
        <v>53</v>
      </c>
      <c r="AG13" s="71"/>
      <c r="AH13" s="71"/>
      <c r="AI13" s="74" t="s">
        <v>49</v>
      </c>
      <c r="AJ13" s="81" t="s">
        <v>54</v>
      </c>
      <c r="AK13" s="76" t="s">
        <v>56</v>
      </c>
      <c r="AL13" s="76" t="s">
        <v>56</v>
      </c>
      <c r="AM13" s="76" t="s">
        <v>56</v>
      </c>
      <c r="AN13" s="98" t="s">
        <v>56</v>
      </c>
      <c r="AO13" s="71"/>
      <c r="AP13" s="76" t="s">
        <v>56</v>
      </c>
      <c r="AQ13" s="76" t="s">
        <v>56</v>
      </c>
      <c r="AR13" s="76" t="s">
        <v>56</v>
      </c>
      <c r="AS13" s="76" t="s">
        <v>56</v>
      </c>
      <c r="AT13" s="76" t="s">
        <v>56</v>
      </c>
      <c r="AU13" s="71"/>
      <c r="AV13" s="73" t="s">
        <v>48</v>
      </c>
      <c r="AW13" s="73" t="s">
        <v>48</v>
      </c>
      <c r="AX13" s="73" t="s">
        <v>48</v>
      </c>
      <c r="AY13" s="73" t="s">
        <v>48</v>
      </c>
      <c r="AZ13" s="73" t="s">
        <v>48</v>
      </c>
      <c r="BA13" s="81" t="s">
        <v>54</v>
      </c>
      <c r="BB13" s="71"/>
      <c r="BC13" s="71"/>
      <c r="BD13" s="75" t="s">
        <v>50</v>
      </c>
      <c r="BE13" s="75" t="s">
        <v>50</v>
      </c>
      <c r="BF13" s="75" t="s">
        <v>50</v>
      </c>
      <c r="BG13" s="75" t="s">
        <v>50</v>
      </c>
      <c r="BH13" s="75" t="s">
        <v>50</v>
      </c>
      <c r="BI13" s="71"/>
      <c r="BJ13" s="71"/>
      <c r="BK13" s="80" t="s">
        <v>53</v>
      </c>
      <c r="BL13" s="80" t="s">
        <v>53</v>
      </c>
      <c r="BM13" s="80" t="s">
        <v>53</v>
      </c>
      <c r="BN13" s="80" t="s">
        <v>53</v>
      </c>
      <c r="BO13" s="80" t="s">
        <v>53</v>
      </c>
      <c r="BP13" s="71"/>
      <c r="BQ13" s="71"/>
      <c r="BR13" s="114"/>
      <c r="BS13" s="76"/>
      <c r="BT13" s="80"/>
      <c r="BU13" s="80"/>
      <c r="BV13" s="80"/>
      <c r="BW13" s="98" t="s">
        <v>56</v>
      </c>
      <c r="BX13" s="71"/>
      <c r="BY13" s="114"/>
      <c r="BZ13" s="76"/>
      <c r="CA13" s="76"/>
      <c r="CB13" s="83" t="s">
        <v>57</v>
      </c>
      <c r="CC13" s="83" t="s">
        <v>57</v>
      </c>
      <c r="CD13" s="71"/>
      <c r="CE13" s="71"/>
      <c r="CF13" s="75" t="s">
        <v>50</v>
      </c>
      <c r="CG13" s="75" t="s">
        <v>50</v>
      </c>
      <c r="CH13" s="74" t="s">
        <v>49</v>
      </c>
      <c r="CI13" s="89" t="s">
        <v>58</v>
      </c>
      <c r="CJ13" s="89" t="s">
        <v>58</v>
      </c>
      <c r="CK13" s="71"/>
      <c r="CL13" s="73" t="s">
        <v>48</v>
      </c>
      <c r="CM13" s="73" t="s">
        <v>48</v>
      </c>
      <c r="CN13" s="73" t="s">
        <v>48</v>
      </c>
      <c r="CO13" s="73" t="s">
        <v>48</v>
      </c>
      <c r="CP13" s="73" t="s">
        <v>48</v>
      </c>
      <c r="CQ13" s="97"/>
      <c r="CR13" s="71"/>
      <c r="CS13" s="97"/>
      <c r="CT13" s="97"/>
      <c r="CU13" s="75" t="s">
        <v>50</v>
      </c>
      <c r="CV13" s="75" t="s">
        <v>50</v>
      </c>
      <c r="CW13" s="75" t="s">
        <v>50</v>
      </c>
      <c r="CX13" s="75" t="s">
        <v>50</v>
      </c>
      <c r="CY13" s="71"/>
      <c r="CZ13" s="71"/>
      <c r="DA13" s="114"/>
      <c r="DB13" s="76"/>
      <c r="DC13" s="75"/>
      <c r="DD13" s="76"/>
      <c r="DE13" s="76"/>
      <c r="DF13" s="86"/>
      <c r="DG13" s="71"/>
      <c r="DH13" s="89" t="s">
        <v>58</v>
      </c>
      <c r="DI13" s="89" t="s">
        <v>58</v>
      </c>
      <c r="DJ13" s="89" t="s">
        <v>58</v>
      </c>
      <c r="DK13" s="89" t="s">
        <v>58</v>
      </c>
      <c r="DL13" s="89" t="s">
        <v>58</v>
      </c>
      <c r="DM13" s="71"/>
      <c r="DN13" s="71"/>
      <c r="DO13" s="89" t="s">
        <v>58</v>
      </c>
      <c r="DP13" s="89" t="s">
        <v>58</v>
      </c>
      <c r="DQ13" s="89" t="s">
        <v>58</v>
      </c>
      <c r="DR13" s="89" t="s">
        <v>58</v>
      </c>
      <c r="DS13" s="97"/>
      <c r="DT13" s="71"/>
      <c r="DU13" s="71"/>
      <c r="DV13" s="89" t="s">
        <v>58</v>
      </c>
      <c r="DW13" s="89" t="s">
        <v>58</v>
      </c>
      <c r="DX13" s="89" t="s">
        <v>58</v>
      </c>
      <c r="DY13" s="89" t="s">
        <v>58</v>
      </c>
      <c r="DZ13" s="89" t="s">
        <v>58</v>
      </c>
      <c r="EA13" s="71"/>
      <c r="EB13" s="73" t="s">
        <v>48</v>
      </c>
      <c r="EC13" s="73" t="s">
        <v>48</v>
      </c>
      <c r="ED13" s="73" t="s">
        <v>48</v>
      </c>
      <c r="EE13" s="73" t="s">
        <v>48</v>
      </c>
      <c r="EF13" s="97"/>
      <c r="EG13" s="81" t="s">
        <v>54</v>
      </c>
      <c r="EH13" s="71"/>
      <c r="EI13" s="71"/>
      <c r="EJ13" s="76"/>
      <c r="EK13" s="76"/>
      <c r="EL13" s="76"/>
      <c r="EM13" s="76"/>
      <c r="EN13" s="89" t="s">
        <v>58</v>
      </c>
      <c r="EO13" s="71"/>
      <c r="EP13" s="97"/>
      <c r="EQ13" s="97"/>
      <c r="ER13" s="91"/>
      <c r="ES13" s="91"/>
      <c r="ET13" s="102"/>
      <c r="EU13" s="91"/>
      <c r="EV13" s="71"/>
      <c r="EW13" s="71"/>
      <c r="EX13" s="114"/>
      <c r="EY13" s="92"/>
      <c r="EZ13" s="92"/>
      <c r="FA13" s="97"/>
      <c r="FB13" s="100"/>
      <c r="FC13" s="71"/>
      <c r="FD13" s="71"/>
      <c r="FE13" s="88"/>
      <c r="FF13" s="88"/>
      <c r="FG13" s="88"/>
      <c r="FH13" s="88"/>
      <c r="FI13" s="88"/>
      <c r="FJ13" s="71"/>
      <c r="FK13" s="71"/>
      <c r="FL13" s="114"/>
      <c r="FM13" s="75"/>
      <c r="FN13" s="75"/>
      <c r="FO13" s="75"/>
      <c r="FP13" s="75"/>
      <c r="FQ13" s="71"/>
      <c r="FR13" s="73" t="s">
        <v>48</v>
      </c>
      <c r="FS13" s="73" t="s">
        <v>48</v>
      </c>
      <c r="FT13" s="73" t="s">
        <v>48</v>
      </c>
      <c r="FU13" s="73" t="s">
        <v>48</v>
      </c>
      <c r="FV13" s="73" t="s">
        <v>48</v>
      </c>
      <c r="FW13" s="81" t="s">
        <v>54</v>
      </c>
      <c r="FX13" s="71"/>
      <c r="FY13" s="71"/>
      <c r="FZ13" s="75" t="s">
        <v>50</v>
      </c>
      <c r="GA13" s="75" t="s">
        <v>50</v>
      </c>
      <c r="GB13" s="115"/>
      <c r="GC13" s="14"/>
      <c r="GD13" s="94"/>
      <c r="GE13" s="9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</row>
    <row r="14" ht="27.75" customHeight="1">
      <c r="A14" s="1"/>
      <c r="B14" s="61" t="s">
        <v>74</v>
      </c>
      <c r="C14" s="96"/>
      <c r="D14" s="103"/>
      <c r="E14" s="71"/>
      <c r="F14" s="71"/>
      <c r="G14" s="103"/>
      <c r="H14" s="97"/>
      <c r="I14" s="103"/>
      <c r="J14" s="103"/>
      <c r="K14" s="103"/>
      <c r="L14" s="71"/>
      <c r="M14" s="71"/>
      <c r="N14" s="103"/>
      <c r="O14" s="103"/>
      <c r="P14" s="103"/>
      <c r="Q14" s="103"/>
      <c r="R14" s="103"/>
      <c r="S14" s="71"/>
      <c r="T14" s="71"/>
      <c r="U14" s="103"/>
      <c r="V14" s="103"/>
      <c r="W14" s="103"/>
      <c r="X14" s="103"/>
      <c r="Y14" s="103"/>
      <c r="Z14" s="71"/>
      <c r="AA14" s="71"/>
      <c r="AB14" s="103"/>
      <c r="AC14" s="103"/>
      <c r="AD14" s="103"/>
      <c r="AE14" s="103"/>
      <c r="AF14" s="103"/>
      <c r="AG14" s="71"/>
      <c r="AH14" s="71"/>
      <c r="AI14" s="116" t="s">
        <v>75</v>
      </c>
      <c r="AJ14" s="77" t="s">
        <v>51</v>
      </c>
      <c r="AK14" s="76" t="s">
        <v>51</v>
      </c>
      <c r="AL14" s="76" t="s">
        <v>51</v>
      </c>
      <c r="AM14" s="76" t="s">
        <v>51</v>
      </c>
      <c r="AN14" s="71"/>
      <c r="AO14" s="71"/>
      <c r="AP14" s="76" t="s">
        <v>51</v>
      </c>
      <c r="AQ14" s="77" t="s">
        <v>51</v>
      </c>
      <c r="AR14" s="76" t="s">
        <v>51</v>
      </c>
      <c r="AS14" s="76" t="s">
        <v>51</v>
      </c>
      <c r="AT14" s="76" t="s">
        <v>51</v>
      </c>
      <c r="AU14" s="71"/>
      <c r="AV14" s="71"/>
      <c r="AW14" s="74" t="s">
        <v>49</v>
      </c>
      <c r="AX14" s="77" t="s">
        <v>51</v>
      </c>
      <c r="AY14" s="76" t="s">
        <v>51</v>
      </c>
      <c r="AZ14" s="76" t="s">
        <v>51</v>
      </c>
      <c r="BA14" s="76" t="s">
        <v>51</v>
      </c>
      <c r="BB14" s="71"/>
      <c r="BC14" s="71"/>
      <c r="BD14" s="75" t="s">
        <v>76</v>
      </c>
      <c r="BE14" s="75" t="s">
        <v>76</v>
      </c>
      <c r="BF14" s="75" t="s">
        <v>76</v>
      </c>
      <c r="BG14" s="75" t="s">
        <v>76</v>
      </c>
      <c r="BH14" s="75" t="s">
        <v>76</v>
      </c>
      <c r="BI14" s="71"/>
      <c r="BJ14" s="71"/>
      <c r="BK14" s="76" t="s">
        <v>56</v>
      </c>
      <c r="BL14" s="76" t="s">
        <v>56</v>
      </c>
      <c r="BM14" s="76" t="s">
        <v>56</v>
      </c>
      <c r="BN14" s="76" t="s">
        <v>56</v>
      </c>
      <c r="BO14" s="76" t="s">
        <v>56</v>
      </c>
      <c r="BP14" s="71"/>
      <c r="BQ14" s="71"/>
      <c r="BR14" s="114"/>
      <c r="BS14" s="76"/>
      <c r="BT14" s="76"/>
      <c r="BU14" s="76"/>
      <c r="BV14" s="76"/>
      <c r="BW14" s="71"/>
      <c r="BX14" s="71"/>
      <c r="BY14" s="114"/>
      <c r="BZ14" s="76"/>
      <c r="CA14" s="76"/>
      <c r="CB14" s="83" t="s">
        <v>57</v>
      </c>
      <c r="CC14" s="83" t="s">
        <v>57</v>
      </c>
      <c r="CD14" s="71"/>
      <c r="CE14" s="73" t="s">
        <v>48</v>
      </c>
      <c r="CF14" s="73" t="s">
        <v>48</v>
      </c>
      <c r="CG14" s="73" t="s">
        <v>48</v>
      </c>
      <c r="CH14" s="73" t="s">
        <v>48</v>
      </c>
      <c r="CI14" s="73" t="s">
        <v>48</v>
      </c>
      <c r="CJ14" s="81" t="s">
        <v>54</v>
      </c>
      <c r="CK14" s="71"/>
      <c r="CL14" s="71"/>
      <c r="CM14" s="75" t="s">
        <v>50</v>
      </c>
      <c r="CN14" s="75" t="s">
        <v>50</v>
      </c>
      <c r="CO14" s="75" t="s">
        <v>50</v>
      </c>
      <c r="CP14" s="75" t="s">
        <v>50</v>
      </c>
      <c r="CQ14" s="97"/>
      <c r="CR14" s="71"/>
      <c r="CS14" s="97"/>
      <c r="CT14" s="97"/>
      <c r="CU14" s="76"/>
      <c r="CV14" s="76"/>
      <c r="CW14" s="76"/>
      <c r="CX14" s="76"/>
      <c r="CY14" s="71"/>
      <c r="CZ14" s="71"/>
      <c r="DA14" s="114"/>
      <c r="DB14" s="76"/>
      <c r="DC14" s="76"/>
      <c r="DD14" s="76"/>
      <c r="DE14" s="76"/>
      <c r="DF14" s="86"/>
      <c r="DG14" s="73" t="s">
        <v>48</v>
      </c>
      <c r="DH14" s="73" t="s">
        <v>48</v>
      </c>
      <c r="DI14" s="73" t="s">
        <v>48</v>
      </c>
      <c r="DJ14" s="73" t="s">
        <v>48</v>
      </c>
      <c r="DK14" s="73" t="s">
        <v>48</v>
      </c>
      <c r="DL14" s="81" t="s">
        <v>54</v>
      </c>
      <c r="DM14" s="71"/>
      <c r="DN14" s="71"/>
      <c r="DO14" s="75" t="s">
        <v>50</v>
      </c>
      <c r="DP14" s="75" t="s">
        <v>50</v>
      </c>
      <c r="DQ14" s="75" t="s">
        <v>50</v>
      </c>
      <c r="DR14" s="75" t="s">
        <v>50</v>
      </c>
      <c r="DS14" s="97"/>
      <c r="DT14" s="71"/>
      <c r="DU14" s="71"/>
      <c r="DV14" s="117"/>
      <c r="DW14" s="117"/>
      <c r="DX14" s="117"/>
      <c r="DY14" s="117"/>
      <c r="DZ14" s="117"/>
      <c r="EA14" s="71"/>
      <c r="EB14" s="71"/>
      <c r="EC14" s="114"/>
      <c r="ED14" s="76"/>
      <c r="EE14" s="75"/>
      <c r="EF14" s="97"/>
      <c r="EG14" s="75"/>
      <c r="EH14" s="71"/>
      <c r="EI14" s="71"/>
      <c r="EJ14" s="114"/>
      <c r="EK14" s="76"/>
      <c r="EL14" s="75"/>
      <c r="EM14" s="76"/>
      <c r="EN14" s="102"/>
      <c r="EO14" s="71"/>
      <c r="EP14" s="97"/>
      <c r="EQ14" s="97"/>
      <c r="ER14" s="80"/>
      <c r="ES14" s="80"/>
      <c r="ET14" s="80"/>
      <c r="EU14" s="80"/>
      <c r="EV14" s="71"/>
      <c r="EW14" s="71"/>
      <c r="EX14" s="114"/>
      <c r="EY14" s="92"/>
      <c r="EZ14" s="92"/>
      <c r="FA14" s="97"/>
      <c r="FB14" s="75"/>
      <c r="FC14" s="71"/>
      <c r="FD14" s="73" t="s">
        <v>48</v>
      </c>
      <c r="FE14" s="73" t="s">
        <v>48</v>
      </c>
      <c r="FF14" s="73" t="s">
        <v>48</v>
      </c>
      <c r="FG14" s="73" t="s">
        <v>48</v>
      </c>
      <c r="FH14" s="73" t="s">
        <v>48</v>
      </c>
      <c r="FI14" s="81" t="s">
        <v>54</v>
      </c>
      <c r="FJ14" s="71"/>
      <c r="FK14" s="71"/>
      <c r="FL14" s="75" t="s">
        <v>50</v>
      </c>
      <c r="FM14" s="75" t="s">
        <v>50</v>
      </c>
      <c r="FN14" s="75" t="s">
        <v>50</v>
      </c>
      <c r="FO14" s="75" t="s">
        <v>50</v>
      </c>
      <c r="FP14" s="75" t="s">
        <v>50</v>
      </c>
      <c r="FQ14" s="71"/>
      <c r="FR14" s="71"/>
      <c r="FS14" s="114"/>
      <c r="FT14" s="76"/>
      <c r="FU14" s="92"/>
      <c r="FV14" s="76"/>
      <c r="FW14" s="76"/>
      <c r="FX14" s="71"/>
      <c r="FY14" s="71"/>
      <c r="FZ14" s="114"/>
      <c r="GA14" s="76"/>
      <c r="GB14" s="93"/>
      <c r="GC14" s="94"/>
      <c r="GD14" s="94"/>
      <c r="GE14" s="9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</row>
    <row r="15" ht="27.75" customHeight="1">
      <c r="A15" s="1"/>
      <c r="B15" s="61" t="s">
        <v>77</v>
      </c>
      <c r="C15" s="96"/>
      <c r="D15" s="70" t="s">
        <v>78</v>
      </c>
      <c r="E15" s="71"/>
      <c r="F15" s="71"/>
      <c r="G15" s="70" t="s">
        <v>79</v>
      </c>
      <c r="H15" s="97"/>
      <c r="I15" s="74" t="s">
        <v>49</v>
      </c>
      <c r="J15" s="78" t="s">
        <v>52</v>
      </c>
      <c r="K15" s="74" t="s">
        <v>49</v>
      </c>
      <c r="L15" s="71"/>
      <c r="M15" s="71"/>
      <c r="N15" s="80" t="s">
        <v>53</v>
      </c>
      <c r="O15" s="74" t="s">
        <v>49</v>
      </c>
      <c r="P15" s="74" t="s">
        <v>49</v>
      </c>
      <c r="Q15" s="80" t="s">
        <v>53</v>
      </c>
      <c r="R15" s="118" t="s">
        <v>49</v>
      </c>
      <c r="S15" s="109"/>
      <c r="T15" s="71"/>
      <c r="U15" s="78" t="s">
        <v>52</v>
      </c>
      <c r="V15" s="74" t="s">
        <v>49</v>
      </c>
      <c r="W15" s="74" t="s">
        <v>49</v>
      </c>
      <c r="X15" s="78" t="s">
        <v>52</v>
      </c>
      <c r="Y15" s="74" t="s">
        <v>49</v>
      </c>
      <c r="Z15" s="71"/>
      <c r="AA15" s="71"/>
      <c r="AB15" s="80" t="s">
        <v>53</v>
      </c>
      <c r="AC15" s="80" t="s">
        <v>53</v>
      </c>
      <c r="AD15" s="74" t="s">
        <v>49</v>
      </c>
      <c r="AE15" s="80" t="s">
        <v>53</v>
      </c>
      <c r="AF15" s="74" t="s">
        <v>49</v>
      </c>
      <c r="AG15" s="71"/>
      <c r="AH15" s="71"/>
      <c r="AI15" s="76" t="s">
        <v>51</v>
      </c>
      <c r="AJ15" s="80" t="s">
        <v>66</v>
      </c>
      <c r="AK15" s="82" t="s">
        <v>55</v>
      </c>
      <c r="AL15" s="74" t="s">
        <v>49</v>
      </c>
      <c r="AM15" s="74" t="s">
        <v>49</v>
      </c>
      <c r="AN15" s="71"/>
      <c r="AO15" s="71"/>
      <c r="AP15" s="80" t="s">
        <v>53</v>
      </c>
      <c r="AQ15" s="80" t="s">
        <v>53</v>
      </c>
      <c r="AR15" s="74" t="s">
        <v>49</v>
      </c>
      <c r="AS15" s="74" t="s">
        <v>49</v>
      </c>
      <c r="AT15" s="74" t="s">
        <v>49</v>
      </c>
      <c r="AU15" s="71"/>
      <c r="AV15" s="71"/>
      <c r="AW15" s="78" t="s">
        <v>52</v>
      </c>
      <c r="AX15" s="80" t="s">
        <v>53</v>
      </c>
      <c r="AY15" s="74" t="s">
        <v>49</v>
      </c>
      <c r="AZ15" s="78" t="s">
        <v>52</v>
      </c>
      <c r="BA15" s="80" t="s">
        <v>53</v>
      </c>
      <c r="BB15" s="71"/>
      <c r="BC15" s="71"/>
      <c r="BD15" s="74" t="s">
        <v>49</v>
      </c>
      <c r="BE15" s="74" t="s">
        <v>49</v>
      </c>
      <c r="BF15" s="74" t="s">
        <v>49</v>
      </c>
      <c r="BG15" s="83" t="s">
        <v>57</v>
      </c>
      <c r="BH15" s="83" t="s">
        <v>57</v>
      </c>
      <c r="BI15" s="71"/>
      <c r="BJ15" s="107"/>
      <c r="BK15" s="80" t="s">
        <v>53</v>
      </c>
      <c r="BL15" s="80" t="s">
        <v>53</v>
      </c>
      <c r="BM15" s="80" t="s">
        <v>53</v>
      </c>
      <c r="BN15" s="74" t="s">
        <v>49</v>
      </c>
      <c r="BO15" s="74" t="s">
        <v>49</v>
      </c>
      <c r="BP15" s="71"/>
      <c r="BQ15" s="71"/>
      <c r="BR15" s="117"/>
      <c r="BS15" s="80"/>
      <c r="BT15" s="82" t="s">
        <v>55</v>
      </c>
      <c r="BU15" s="119"/>
      <c r="BV15" s="119"/>
      <c r="BW15" s="71"/>
      <c r="BX15" s="71"/>
      <c r="BY15" s="74" t="s">
        <v>49</v>
      </c>
      <c r="BZ15" s="74" t="s">
        <v>49</v>
      </c>
      <c r="CA15" s="81" t="s">
        <v>54</v>
      </c>
      <c r="CB15" s="80" t="s">
        <v>53</v>
      </c>
      <c r="CC15" s="80" t="s">
        <v>53</v>
      </c>
      <c r="CD15" s="71"/>
      <c r="CE15" s="71"/>
      <c r="CF15" s="117"/>
      <c r="CG15" s="80"/>
      <c r="CH15" s="80"/>
      <c r="CI15" s="110" t="s">
        <v>49</v>
      </c>
      <c r="CJ15" s="119"/>
      <c r="CK15" s="71"/>
      <c r="CL15" s="71"/>
      <c r="CM15" s="117"/>
      <c r="CN15" s="76"/>
      <c r="CO15" s="119"/>
      <c r="CP15" s="120"/>
      <c r="CQ15" s="97"/>
      <c r="CR15" s="71"/>
      <c r="CS15" s="97"/>
      <c r="CT15" s="97"/>
      <c r="CU15" s="89" t="s">
        <v>58</v>
      </c>
      <c r="CV15" s="89" t="s">
        <v>58</v>
      </c>
      <c r="CW15" s="89" t="s">
        <v>58</v>
      </c>
      <c r="CX15" s="89" t="s">
        <v>58</v>
      </c>
      <c r="CY15" s="71"/>
      <c r="CZ15" s="71"/>
      <c r="DA15" s="117"/>
      <c r="DB15" s="76"/>
      <c r="DC15" s="119"/>
      <c r="DD15" s="119"/>
      <c r="DE15" s="76"/>
      <c r="DF15" s="86"/>
      <c r="DG15" s="107"/>
      <c r="DH15" s="119"/>
      <c r="DI15" s="119"/>
      <c r="DJ15" s="80"/>
      <c r="DK15" s="119"/>
      <c r="DL15" s="110" t="s">
        <v>49</v>
      </c>
      <c r="DM15" s="71"/>
      <c r="DN15" s="71"/>
      <c r="DO15" s="117"/>
      <c r="DP15" s="119"/>
      <c r="DQ15" s="119"/>
      <c r="DR15" s="111"/>
      <c r="DS15" s="97"/>
      <c r="DT15" s="71"/>
      <c r="DU15" s="71"/>
      <c r="DV15" s="117"/>
      <c r="DW15" s="119"/>
      <c r="DX15" s="119"/>
      <c r="DY15" s="120"/>
      <c r="DZ15" s="92"/>
      <c r="EA15" s="71"/>
      <c r="EB15" s="71"/>
      <c r="EC15" s="117"/>
      <c r="ED15" s="75"/>
      <c r="EE15" s="119"/>
      <c r="EF15" s="97"/>
      <c r="EG15" s="119"/>
      <c r="EH15" s="71"/>
      <c r="EI15" s="71"/>
      <c r="EJ15" s="117"/>
      <c r="EK15" s="75"/>
      <c r="EL15" s="119"/>
      <c r="EM15" s="119"/>
      <c r="EN15" s="121"/>
      <c r="EO15" s="71"/>
      <c r="EP15" s="97"/>
      <c r="EQ15" s="97"/>
      <c r="ER15" s="89" t="s">
        <v>58</v>
      </c>
      <c r="ES15" s="89" t="s">
        <v>58</v>
      </c>
      <c r="ET15" s="89" t="s">
        <v>58</v>
      </c>
      <c r="EU15" s="89" t="s">
        <v>58</v>
      </c>
      <c r="EV15" s="71"/>
      <c r="EW15" s="71"/>
      <c r="EX15" s="89" t="s">
        <v>58</v>
      </c>
      <c r="EY15" s="89" t="s">
        <v>58</v>
      </c>
      <c r="EZ15" s="89" t="s">
        <v>58</v>
      </c>
      <c r="FA15" s="97"/>
      <c r="FB15" s="89" t="s">
        <v>58</v>
      </c>
      <c r="FC15" s="71"/>
      <c r="FD15" s="71"/>
      <c r="FE15" s="91"/>
      <c r="FF15" s="91"/>
      <c r="FG15" s="83" t="s">
        <v>57</v>
      </c>
      <c r="FH15" s="83" t="s">
        <v>57</v>
      </c>
      <c r="FI15" s="83" t="s">
        <v>57</v>
      </c>
      <c r="FJ15" s="71"/>
      <c r="FK15" s="71"/>
      <c r="FL15" s="117"/>
      <c r="FM15" s="91"/>
      <c r="FN15" s="91"/>
      <c r="FO15" s="91"/>
      <c r="FP15" s="91"/>
      <c r="FQ15" s="71"/>
      <c r="FR15" s="71"/>
      <c r="FS15" s="117"/>
      <c r="FT15" s="119"/>
      <c r="FU15" s="92"/>
      <c r="FV15" s="92"/>
      <c r="FW15" s="119"/>
      <c r="FX15" s="71"/>
      <c r="FY15" s="71"/>
      <c r="FZ15" s="117"/>
      <c r="GA15" s="76"/>
      <c r="GB15" s="93"/>
      <c r="GC15" s="94"/>
      <c r="GD15" s="94"/>
      <c r="GE15" s="9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</row>
    <row r="16" ht="27.75" customHeight="1">
      <c r="A16" s="1"/>
      <c r="B16" s="122" t="s">
        <v>80</v>
      </c>
      <c r="C16" s="96"/>
      <c r="D16" s="123" t="s">
        <v>81</v>
      </c>
      <c r="E16" s="124"/>
      <c r="F16" s="125"/>
      <c r="G16" s="126" t="s">
        <v>82</v>
      </c>
      <c r="H16" s="97"/>
      <c r="I16" s="127" t="s">
        <v>83</v>
      </c>
      <c r="J16" s="127" t="s">
        <v>83</v>
      </c>
      <c r="K16" s="127" t="s">
        <v>83</v>
      </c>
      <c r="L16" s="125"/>
      <c r="M16" s="125"/>
      <c r="N16" s="127" t="s">
        <v>83</v>
      </c>
      <c r="O16" s="127" t="s">
        <v>83</v>
      </c>
      <c r="P16" s="127" t="s">
        <v>83</v>
      </c>
      <c r="Q16" s="127" t="s">
        <v>83</v>
      </c>
      <c r="R16" s="127" t="s">
        <v>83</v>
      </c>
      <c r="S16" s="125"/>
      <c r="T16" s="125"/>
      <c r="U16" s="127" t="s">
        <v>83</v>
      </c>
      <c r="V16" s="127" t="s">
        <v>83</v>
      </c>
      <c r="W16" s="128" t="s">
        <v>58</v>
      </c>
      <c r="X16" s="127" t="s">
        <v>83</v>
      </c>
      <c r="Y16" s="127" t="s">
        <v>83</v>
      </c>
      <c r="Z16" s="125"/>
      <c r="AA16" s="125"/>
      <c r="AB16" s="127" t="s">
        <v>83</v>
      </c>
      <c r="AC16" s="127" t="s">
        <v>83</v>
      </c>
      <c r="AD16" s="127" t="s">
        <v>83</v>
      </c>
      <c r="AE16" s="127" t="s">
        <v>83</v>
      </c>
      <c r="AF16" s="127" t="s">
        <v>83</v>
      </c>
      <c r="AG16" s="125"/>
      <c r="AH16" s="125"/>
      <c r="AI16" s="129" t="s">
        <v>83</v>
      </c>
      <c r="AJ16" s="127" t="s">
        <v>83</v>
      </c>
      <c r="AK16" s="127" t="s">
        <v>83</v>
      </c>
      <c r="AL16" s="129" t="s">
        <v>83</v>
      </c>
      <c r="AM16" s="127" t="s">
        <v>83</v>
      </c>
      <c r="AN16" s="130"/>
      <c r="AO16" s="125"/>
      <c r="AP16" s="127" t="s">
        <v>83</v>
      </c>
      <c r="AQ16" s="127" t="s">
        <v>83</v>
      </c>
      <c r="AR16" s="131" t="s">
        <v>55</v>
      </c>
      <c r="AS16" s="129" t="s">
        <v>83</v>
      </c>
      <c r="AT16" s="127" t="s">
        <v>83</v>
      </c>
      <c r="AU16" s="125"/>
      <c r="AV16" s="125"/>
      <c r="AW16" s="128" t="s">
        <v>58</v>
      </c>
      <c r="AX16" s="128" t="s">
        <v>58</v>
      </c>
      <c r="AY16" s="128" t="s">
        <v>58</v>
      </c>
      <c r="AZ16" s="128" t="s">
        <v>58</v>
      </c>
      <c r="BA16" s="128" t="s">
        <v>58</v>
      </c>
      <c r="BB16" s="125"/>
      <c r="BC16" s="125"/>
      <c r="BD16" s="129" t="s">
        <v>83</v>
      </c>
      <c r="BE16" s="127" t="s">
        <v>83</v>
      </c>
      <c r="BF16" s="127" t="s">
        <v>83</v>
      </c>
      <c r="BG16" s="132" t="s">
        <v>57</v>
      </c>
      <c r="BH16" s="132" t="s">
        <v>57</v>
      </c>
      <c r="BI16" s="125"/>
      <c r="BJ16" s="124"/>
      <c r="BK16" s="127" t="s">
        <v>83</v>
      </c>
      <c r="BL16" s="127" t="s">
        <v>83</v>
      </c>
      <c r="BM16" s="127" t="s">
        <v>83</v>
      </c>
      <c r="BN16" s="127" t="s">
        <v>83</v>
      </c>
      <c r="BO16" s="127" t="s">
        <v>83</v>
      </c>
      <c r="BP16" s="125"/>
      <c r="BQ16" s="125"/>
      <c r="BR16" s="133"/>
      <c r="BS16" s="127"/>
      <c r="BT16" s="127"/>
      <c r="BU16" s="127"/>
      <c r="BV16" s="127"/>
      <c r="BW16" s="125"/>
      <c r="BX16" s="125"/>
      <c r="BY16" s="133"/>
      <c r="BZ16" s="127"/>
      <c r="CA16" s="127"/>
      <c r="CB16" s="127"/>
      <c r="CC16" s="127"/>
      <c r="CD16" s="125"/>
      <c r="CE16" s="125"/>
      <c r="CF16" s="133"/>
      <c r="CG16" s="127"/>
      <c r="CH16" s="127"/>
      <c r="CI16" s="127"/>
      <c r="CJ16" s="127"/>
      <c r="CK16" s="125"/>
      <c r="CL16" s="125"/>
      <c r="CM16" s="133"/>
      <c r="CN16" s="127"/>
      <c r="CO16" s="127"/>
      <c r="CP16" s="127"/>
      <c r="CQ16" s="97"/>
      <c r="CR16" s="71"/>
      <c r="CS16" s="97"/>
      <c r="CT16" s="97"/>
      <c r="CU16" s="127"/>
      <c r="CV16" s="127"/>
      <c r="CW16" s="127"/>
      <c r="CX16" s="127"/>
      <c r="CY16" s="125"/>
      <c r="CZ16" s="125"/>
      <c r="DA16" s="132" t="s">
        <v>57</v>
      </c>
      <c r="DB16" s="132" t="s">
        <v>57</v>
      </c>
      <c r="DC16" s="132" t="s">
        <v>57</v>
      </c>
      <c r="DD16" s="127"/>
      <c r="DE16" s="134"/>
      <c r="DF16" s="135"/>
      <c r="DG16" s="125"/>
      <c r="DH16" s="127"/>
      <c r="DI16" s="127"/>
      <c r="DJ16" s="127"/>
      <c r="DK16" s="127"/>
      <c r="DL16" s="136" t="s">
        <v>49</v>
      </c>
      <c r="DM16" s="125"/>
      <c r="DN16" s="125"/>
      <c r="DO16" s="133"/>
      <c r="DP16" s="127"/>
      <c r="DQ16" s="128" t="s">
        <v>58</v>
      </c>
      <c r="DR16" s="128" t="s">
        <v>58</v>
      </c>
      <c r="DS16" s="97"/>
      <c r="DT16" s="124"/>
      <c r="DU16" s="125"/>
      <c r="DV16" s="133"/>
      <c r="DW16" s="127"/>
      <c r="DX16" s="127"/>
      <c r="DY16" s="127"/>
      <c r="DZ16" s="127"/>
      <c r="EA16" s="125"/>
      <c r="EB16" s="125"/>
      <c r="EC16" s="128" t="s">
        <v>58</v>
      </c>
      <c r="ED16" s="128" t="s">
        <v>58</v>
      </c>
      <c r="EE16" s="128" t="s">
        <v>58</v>
      </c>
      <c r="EF16" s="97"/>
      <c r="EG16" s="128" t="s">
        <v>58</v>
      </c>
      <c r="EH16" s="125"/>
      <c r="EI16" s="125"/>
      <c r="EJ16" s="128" t="s">
        <v>58</v>
      </c>
      <c r="EK16" s="128" t="s">
        <v>58</v>
      </c>
      <c r="EL16" s="128" t="s">
        <v>58</v>
      </c>
      <c r="EM16" s="128" t="s">
        <v>58</v>
      </c>
      <c r="EN16" s="128" t="s">
        <v>58</v>
      </c>
      <c r="EO16" s="125"/>
      <c r="EP16" s="97"/>
      <c r="EQ16" s="97"/>
      <c r="ER16" s="137"/>
      <c r="ES16" s="138"/>
      <c r="ET16" s="138"/>
      <c r="EU16" s="138"/>
      <c r="EV16" s="125"/>
      <c r="EW16" s="125"/>
      <c r="EX16" s="139"/>
      <c r="EY16" s="139"/>
      <c r="EZ16" s="139"/>
      <c r="FA16" s="97"/>
      <c r="FB16" s="128" t="s">
        <v>58</v>
      </c>
      <c r="FC16" s="124"/>
      <c r="FD16" s="125"/>
      <c r="FE16" s="127"/>
      <c r="FF16" s="127"/>
      <c r="FG16" s="127"/>
      <c r="FH16" s="127"/>
      <c r="FI16" s="127"/>
      <c r="FJ16" s="124"/>
      <c r="FK16" s="125"/>
      <c r="FL16" s="133"/>
      <c r="FM16" s="127"/>
      <c r="FN16" s="127"/>
      <c r="FO16" s="127"/>
      <c r="FP16" s="127"/>
      <c r="FQ16" s="125"/>
      <c r="FR16" s="125"/>
      <c r="FS16" s="133"/>
      <c r="FT16" s="127"/>
      <c r="FU16" s="127"/>
      <c r="FV16" s="127"/>
      <c r="FW16" s="127"/>
      <c r="FX16" s="125"/>
      <c r="FY16" s="125"/>
      <c r="FZ16" s="133"/>
      <c r="GA16" s="127"/>
      <c r="GB16" s="93"/>
      <c r="GC16" s="140"/>
      <c r="GD16" s="140"/>
      <c r="GE16" s="140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</row>
    <row r="17" ht="27.75" customHeight="1">
      <c r="A17" s="1"/>
      <c r="B17" s="141" t="s">
        <v>84</v>
      </c>
      <c r="C17" s="96"/>
      <c r="D17" s="103"/>
      <c r="E17" s="71"/>
      <c r="F17" s="71"/>
      <c r="G17" s="103"/>
      <c r="H17" s="97"/>
      <c r="I17" s="103"/>
      <c r="J17" s="103"/>
      <c r="K17" s="103"/>
      <c r="L17" s="71"/>
      <c r="M17" s="71"/>
      <c r="N17" s="103"/>
      <c r="O17" s="103"/>
      <c r="P17" s="103"/>
      <c r="Q17" s="103"/>
      <c r="R17" s="103"/>
      <c r="S17" s="71"/>
      <c r="T17" s="71"/>
      <c r="U17" s="103"/>
      <c r="V17" s="103"/>
      <c r="W17" s="103"/>
      <c r="X17" s="103"/>
      <c r="Y17" s="103"/>
      <c r="Z17" s="71"/>
      <c r="AA17" s="71"/>
      <c r="AB17" s="103"/>
      <c r="AC17" s="103"/>
      <c r="AD17" s="103"/>
      <c r="AE17" s="103"/>
      <c r="AF17" s="103"/>
      <c r="AG17" s="71"/>
      <c r="AH17" s="71"/>
      <c r="AI17" s="80" t="s">
        <v>53</v>
      </c>
      <c r="AJ17" s="80" t="s">
        <v>53</v>
      </c>
      <c r="AK17" s="80" t="s">
        <v>53</v>
      </c>
      <c r="AL17" s="80" t="s">
        <v>53</v>
      </c>
      <c r="AM17" s="80" t="s">
        <v>53</v>
      </c>
      <c r="AN17" s="71"/>
      <c r="AO17" s="71"/>
      <c r="AP17" s="103"/>
      <c r="AQ17" s="103"/>
      <c r="AR17" s="103"/>
      <c r="AS17" s="103"/>
      <c r="AT17" s="103"/>
      <c r="AU17" s="71"/>
      <c r="AV17" s="71"/>
      <c r="AW17" s="103"/>
      <c r="AX17" s="103"/>
      <c r="AY17" s="103"/>
      <c r="AZ17" s="103"/>
      <c r="BA17" s="103"/>
      <c r="BB17" s="71"/>
      <c r="BC17" s="71"/>
      <c r="BD17" s="80" t="s">
        <v>53</v>
      </c>
      <c r="BE17" s="80" t="s">
        <v>53</v>
      </c>
      <c r="BF17" s="80" t="s">
        <v>53</v>
      </c>
      <c r="BG17" s="80" t="s">
        <v>53</v>
      </c>
      <c r="BH17" s="80" t="s">
        <v>53</v>
      </c>
      <c r="BI17" s="71"/>
      <c r="BJ17" s="71"/>
      <c r="BK17" s="103"/>
      <c r="BL17" s="103"/>
      <c r="BM17" s="103"/>
      <c r="BN17" s="103"/>
      <c r="BO17" s="103"/>
      <c r="BP17" s="71"/>
      <c r="BQ17" s="71"/>
      <c r="BR17" s="80" t="s">
        <v>53</v>
      </c>
      <c r="BS17" s="80" t="s">
        <v>53</v>
      </c>
      <c r="BT17" s="80" t="s">
        <v>53</v>
      </c>
      <c r="BU17" s="80" t="s">
        <v>53</v>
      </c>
      <c r="BV17" s="80" t="s">
        <v>53</v>
      </c>
      <c r="BW17" s="71"/>
      <c r="BX17" s="71"/>
      <c r="BY17" s="103"/>
      <c r="BZ17" s="103"/>
      <c r="CA17" s="103"/>
      <c r="CB17" s="103"/>
      <c r="CC17" s="103"/>
      <c r="CD17" s="71"/>
      <c r="CE17" s="71"/>
      <c r="CF17" s="109"/>
      <c r="CG17" s="109"/>
      <c r="CH17" s="109"/>
      <c r="CI17" s="109"/>
      <c r="CJ17" s="109"/>
      <c r="CK17" s="71"/>
      <c r="CL17" s="71"/>
      <c r="CM17" s="80" t="s">
        <v>53</v>
      </c>
      <c r="CN17" s="80" t="s">
        <v>53</v>
      </c>
      <c r="CO17" s="103"/>
      <c r="CP17" s="103"/>
      <c r="CQ17" s="97"/>
      <c r="CR17" s="71"/>
      <c r="CS17" s="97"/>
      <c r="CT17" s="97"/>
      <c r="CU17" s="76"/>
      <c r="CV17" s="76"/>
      <c r="CW17" s="76"/>
      <c r="CX17" s="76"/>
      <c r="CY17" s="71"/>
      <c r="CZ17" s="71"/>
      <c r="DA17" s="84"/>
      <c r="DB17" s="76"/>
      <c r="DC17" s="76"/>
      <c r="DD17" s="76"/>
      <c r="DE17" s="76"/>
      <c r="DF17" s="142"/>
      <c r="DG17" s="143"/>
      <c r="DH17" s="80"/>
      <c r="DI17" s="80"/>
      <c r="DJ17" s="76"/>
      <c r="DK17" s="80"/>
      <c r="DL17" s="80"/>
      <c r="DM17" s="71"/>
      <c r="DN17" s="71"/>
      <c r="DO17" s="84"/>
      <c r="DP17" s="80"/>
      <c r="DQ17" s="80"/>
      <c r="DR17" s="80"/>
      <c r="DS17" s="97"/>
      <c r="DT17" s="71"/>
      <c r="DU17" s="71"/>
      <c r="DV17" s="84"/>
      <c r="DW17" s="76"/>
      <c r="DX17" s="76"/>
      <c r="DY17" s="76"/>
      <c r="DZ17" s="80"/>
      <c r="EA17" s="71"/>
      <c r="EB17" s="71"/>
      <c r="EC17" s="84"/>
      <c r="ED17" s="76"/>
      <c r="EE17" s="80"/>
      <c r="EF17" s="97"/>
      <c r="EG17" s="80"/>
      <c r="EH17" s="71"/>
      <c r="EI17" s="71"/>
      <c r="EJ17" s="84"/>
      <c r="EK17" s="80"/>
      <c r="EL17" s="80"/>
      <c r="EM17" s="76"/>
      <c r="EN17" s="80"/>
      <c r="EO17" s="71"/>
      <c r="EP17" s="97"/>
      <c r="EQ17" s="97"/>
      <c r="ER17" s="80"/>
      <c r="ES17" s="80"/>
      <c r="ET17" s="80"/>
      <c r="EU17" s="80"/>
      <c r="EV17" s="71"/>
      <c r="EW17" s="71"/>
      <c r="EX17" s="84"/>
      <c r="EY17" s="76"/>
      <c r="EZ17" s="76"/>
      <c r="FA17" s="97"/>
      <c r="FB17" s="76"/>
      <c r="FC17" s="71"/>
      <c r="FD17" s="71"/>
      <c r="FE17" s="80"/>
      <c r="FF17" s="80"/>
      <c r="FG17" s="80"/>
      <c r="FH17" s="80"/>
      <c r="FI17" s="76"/>
      <c r="FJ17" s="71"/>
      <c r="FK17" s="71"/>
      <c r="FL17" s="84"/>
      <c r="FM17" s="76"/>
      <c r="FN17" s="80"/>
      <c r="FO17" s="80"/>
      <c r="FP17" s="76"/>
      <c r="FQ17" s="71"/>
      <c r="FR17" s="71"/>
      <c r="FS17" s="84"/>
      <c r="FT17" s="76"/>
      <c r="FU17" s="76"/>
      <c r="FV17" s="76"/>
      <c r="FW17" s="76"/>
      <c r="FX17" s="71"/>
      <c r="FY17" s="71"/>
      <c r="FZ17" s="84"/>
      <c r="GA17" s="76"/>
      <c r="GB17" s="93"/>
      <c r="GC17" s="140"/>
      <c r="GD17" s="140"/>
      <c r="GE17" s="140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</row>
    <row r="18" ht="27.75" customHeight="1">
      <c r="A18" s="1"/>
      <c r="B18" s="144" t="s">
        <v>85</v>
      </c>
      <c r="C18" s="96"/>
      <c r="D18" s="145"/>
      <c r="E18" s="71"/>
      <c r="F18" s="71"/>
      <c r="G18" s="146"/>
      <c r="H18" s="97"/>
      <c r="I18" s="145"/>
      <c r="J18" s="147"/>
      <c r="K18" s="147"/>
      <c r="L18" s="71"/>
      <c r="M18" s="71"/>
      <c r="N18" s="146"/>
      <c r="O18" s="148"/>
      <c r="P18" s="148"/>
      <c r="Q18" s="148"/>
      <c r="R18" s="148"/>
      <c r="S18" s="71"/>
      <c r="T18" s="71"/>
      <c r="U18" s="146"/>
      <c r="V18" s="148"/>
      <c r="W18" s="148"/>
      <c r="X18" s="148"/>
      <c r="Y18" s="148"/>
      <c r="Z18" s="71"/>
      <c r="AA18" s="71"/>
      <c r="AB18" s="146"/>
      <c r="AC18" s="148"/>
      <c r="AD18" s="148"/>
      <c r="AE18" s="148"/>
      <c r="AF18" s="148"/>
      <c r="AG18" s="71"/>
      <c r="AH18" s="71"/>
      <c r="AI18" s="146"/>
      <c r="AJ18" s="148"/>
      <c r="AK18" s="148"/>
      <c r="AL18" s="148"/>
      <c r="AM18" s="148"/>
      <c r="AN18" s="71"/>
      <c r="AO18" s="71"/>
      <c r="AP18" s="146"/>
      <c r="AQ18" s="148"/>
      <c r="AR18" s="148"/>
      <c r="AS18" s="148"/>
      <c r="AT18" s="148"/>
      <c r="AU18" s="71"/>
      <c r="AV18" s="71"/>
      <c r="AW18" s="146"/>
      <c r="AX18" s="148"/>
      <c r="AY18" s="148"/>
      <c r="AZ18" s="148"/>
      <c r="BA18" s="148"/>
      <c r="BB18" s="71"/>
      <c r="BC18" s="71"/>
      <c r="BD18" s="146"/>
      <c r="BE18" s="148"/>
      <c r="BF18" s="148"/>
      <c r="BG18" s="148"/>
      <c r="BH18" s="148"/>
      <c r="BI18" s="71"/>
      <c r="BJ18" s="71"/>
      <c r="BK18" s="146"/>
      <c r="BL18" s="148"/>
      <c r="BM18" s="148"/>
      <c r="BN18" s="148"/>
      <c r="BO18" s="148"/>
      <c r="BP18" s="71"/>
      <c r="BQ18" s="71"/>
      <c r="BR18" s="146"/>
      <c r="BS18" s="148"/>
      <c r="BT18" s="148"/>
      <c r="BU18" s="148"/>
      <c r="BV18" s="148"/>
      <c r="BW18" s="71"/>
      <c r="BX18" s="71"/>
      <c r="BY18" s="146"/>
      <c r="BZ18" s="148"/>
      <c r="CA18" s="148"/>
      <c r="CB18" s="148"/>
      <c r="CC18" s="148"/>
      <c r="CD18" s="71"/>
      <c r="CE18" s="71"/>
      <c r="CF18" s="89" t="s">
        <v>58</v>
      </c>
      <c r="CG18" s="89" t="s">
        <v>58</v>
      </c>
      <c r="CH18" s="147"/>
      <c r="CI18" s="148"/>
      <c r="CJ18" s="148"/>
      <c r="CK18" s="71"/>
      <c r="CL18" s="71"/>
      <c r="CM18" s="146"/>
      <c r="CN18" s="148"/>
      <c r="CO18" s="148"/>
      <c r="CP18" s="148"/>
      <c r="CQ18" s="97"/>
      <c r="CR18" s="71"/>
      <c r="CS18" s="97"/>
      <c r="CT18" s="97"/>
      <c r="CU18" s="148"/>
      <c r="CV18" s="148"/>
      <c r="CW18" s="148"/>
      <c r="CX18" s="148"/>
      <c r="CY18" s="71"/>
      <c r="CZ18" s="71"/>
      <c r="DA18" s="146"/>
      <c r="DB18" s="148"/>
      <c r="DC18" s="148"/>
      <c r="DD18" s="148"/>
      <c r="DE18" s="148"/>
      <c r="DF18" s="86"/>
      <c r="DG18" s="149"/>
      <c r="DH18" s="148"/>
      <c r="DI18" s="148"/>
      <c r="DJ18" s="148"/>
      <c r="DK18" s="148"/>
      <c r="DL18" s="148"/>
      <c r="DM18" s="71"/>
      <c r="DN18" s="71"/>
      <c r="DO18" s="146"/>
      <c r="DP18" s="148"/>
      <c r="DQ18" s="147"/>
      <c r="DR18" s="147"/>
      <c r="DS18" s="97"/>
      <c r="DT18" s="71"/>
      <c r="DU18" s="71"/>
      <c r="DV18" s="89" t="s">
        <v>58</v>
      </c>
      <c r="DW18" s="89" t="s">
        <v>58</v>
      </c>
      <c r="DX18" s="89" t="s">
        <v>58</v>
      </c>
      <c r="DY18" s="89" t="s">
        <v>58</v>
      </c>
      <c r="DZ18" s="89" t="s">
        <v>58</v>
      </c>
      <c r="EA18" s="71"/>
      <c r="EB18" s="71"/>
      <c r="EC18" s="146"/>
      <c r="ED18" s="148"/>
      <c r="EE18" s="148"/>
      <c r="EF18" s="97"/>
      <c r="EG18" s="89" t="s">
        <v>58</v>
      </c>
      <c r="EH18" s="71"/>
      <c r="EI18" s="71"/>
      <c r="EJ18" s="146"/>
      <c r="EK18" s="148"/>
      <c r="EL18" s="148"/>
      <c r="EM18" s="148"/>
      <c r="EN18" s="148"/>
      <c r="EO18" s="71"/>
      <c r="EP18" s="97"/>
      <c r="EQ18" s="97"/>
      <c r="ER18" s="147"/>
      <c r="ES18" s="147"/>
      <c r="ET18" s="147"/>
      <c r="EU18" s="147"/>
      <c r="EV18" s="71"/>
      <c r="EW18" s="71"/>
      <c r="EX18" s="146"/>
      <c r="EY18" s="148"/>
      <c r="EZ18" s="148"/>
      <c r="FA18" s="97"/>
      <c r="FB18" s="89" t="s">
        <v>58</v>
      </c>
      <c r="FC18" s="71"/>
      <c r="FD18" s="71"/>
      <c r="FE18" s="148"/>
      <c r="FF18" s="148"/>
      <c r="FG18" s="148"/>
      <c r="FH18" s="148"/>
      <c r="FI18" s="148"/>
      <c r="FJ18" s="71"/>
      <c r="FK18" s="71"/>
      <c r="FL18" s="89" t="s">
        <v>58</v>
      </c>
      <c r="FM18" s="89" t="s">
        <v>58</v>
      </c>
      <c r="FN18" s="89" t="s">
        <v>58</v>
      </c>
      <c r="FO18" s="89" t="s">
        <v>58</v>
      </c>
      <c r="FP18" s="89" t="s">
        <v>58</v>
      </c>
      <c r="FQ18" s="71"/>
      <c r="FR18" s="71"/>
      <c r="FS18" s="146"/>
      <c r="FT18" s="148"/>
      <c r="FU18" s="148"/>
      <c r="FV18" s="148"/>
      <c r="FW18" s="148"/>
      <c r="FX18" s="71"/>
      <c r="FY18" s="71"/>
      <c r="FZ18" s="89" t="s">
        <v>58</v>
      </c>
      <c r="GA18" s="148"/>
      <c r="GB18" s="93"/>
      <c r="GC18" s="140"/>
      <c r="GD18" s="140"/>
      <c r="GE18" s="140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</row>
    <row r="19" ht="27.75" customHeight="1">
      <c r="A19" s="1"/>
      <c r="B19" s="150" t="s">
        <v>86</v>
      </c>
      <c r="C19" s="151"/>
      <c r="D19" s="152"/>
      <c r="E19" s="71"/>
      <c r="F19" s="71"/>
      <c r="G19" s="117"/>
      <c r="H19" s="153"/>
      <c r="I19" s="111"/>
      <c r="J19" s="111"/>
      <c r="K19" s="111"/>
      <c r="L19" s="71"/>
      <c r="M19" s="71"/>
      <c r="N19" s="117"/>
      <c r="O19" s="75"/>
      <c r="P19" s="75"/>
      <c r="Q19" s="75"/>
      <c r="R19" s="111"/>
      <c r="S19" s="71"/>
      <c r="T19" s="71"/>
      <c r="U19" s="117"/>
      <c r="V19" s="75"/>
      <c r="W19" s="75"/>
      <c r="X19" s="75"/>
      <c r="Y19" s="111"/>
      <c r="Z19" s="71"/>
      <c r="AA19" s="71"/>
      <c r="AB19" s="117"/>
      <c r="AC19" s="75"/>
      <c r="AD19" s="75"/>
      <c r="AE19" s="75"/>
      <c r="AF19" s="111"/>
      <c r="AG19" s="71"/>
      <c r="AH19" s="71"/>
      <c r="AI19" s="117"/>
      <c r="AJ19" s="75"/>
      <c r="AK19" s="75"/>
      <c r="AL19" s="75"/>
      <c r="AM19" s="111"/>
      <c r="AN19" s="71"/>
      <c r="AO19" s="71"/>
      <c r="AP19" s="117"/>
      <c r="AQ19" s="75"/>
      <c r="AR19" s="75"/>
      <c r="AS19" s="75"/>
      <c r="AT19" s="154"/>
      <c r="AU19" s="71"/>
      <c r="AV19" s="71"/>
      <c r="AW19" s="117"/>
      <c r="AX19" s="75"/>
      <c r="AY19" s="75"/>
      <c r="AZ19" s="75"/>
      <c r="BA19" s="111"/>
      <c r="BB19" s="71"/>
      <c r="BC19" s="71"/>
      <c r="BD19" s="117"/>
      <c r="BE19" s="75"/>
      <c r="BF19" s="75"/>
      <c r="BG19" s="75"/>
      <c r="BH19" s="111"/>
      <c r="BI19" s="71"/>
      <c r="BJ19" s="71"/>
      <c r="BK19" s="117"/>
      <c r="BL19" s="75"/>
      <c r="BM19" s="154"/>
      <c r="BN19" s="154"/>
      <c r="BO19" s="111"/>
      <c r="BP19" s="71"/>
      <c r="BQ19" s="71"/>
      <c r="BR19" s="117"/>
      <c r="BS19" s="75"/>
      <c r="BT19" s="75"/>
      <c r="BU19" s="75"/>
      <c r="BV19" s="111"/>
      <c r="BW19" s="71"/>
      <c r="BX19" s="71"/>
      <c r="BY19" s="117"/>
      <c r="BZ19" s="75"/>
      <c r="CA19" s="75"/>
      <c r="CB19" s="75"/>
      <c r="CC19" s="111"/>
      <c r="CD19" s="71"/>
      <c r="CE19" s="71"/>
      <c r="CF19" s="117"/>
      <c r="CG19" s="75"/>
      <c r="CH19" s="75"/>
      <c r="CI19" s="111"/>
      <c r="CJ19" s="111"/>
      <c r="CK19" s="71"/>
      <c r="CL19" s="71"/>
      <c r="CM19" s="89" t="s">
        <v>58</v>
      </c>
      <c r="CN19" s="89" t="s">
        <v>58</v>
      </c>
      <c r="CO19" s="89" t="s">
        <v>58</v>
      </c>
      <c r="CP19" s="89" t="s">
        <v>58</v>
      </c>
      <c r="CQ19" s="155"/>
      <c r="CR19" s="71"/>
      <c r="CS19" s="155"/>
      <c r="CT19" s="155"/>
      <c r="CU19" s="89" t="s">
        <v>58</v>
      </c>
      <c r="CV19" s="89" t="s">
        <v>58</v>
      </c>
      <c r="CW19" s="89" t="s">
        <v>58</v>
      </c>
      <c r="CX19" s="89" t="s">
        <v>58</v>
      </c>
      <c r="CY19" s="71"/>
      <c r="CZ19" s="71"/>
      <c r="DA19" s="117"/>
      <c r="DB19" s="154"/>
      <c r="DC19" s="154"/>
      <c r="DD19" s="154"/>
      <c r="DE19" s="154"/>
      <c r="DF19" s="86"/>
      <c r="DG19" s="107"/>
      <c r="DH19" s="154"/>
      <c r="DI19" s="154"/>
      <c r="DJ19" s="154"/>
      <c r="DK19" s="154"/>
      <c r="DL19" s="154"/>
      <c r="DM19" s="71"/>
      <c r="DN19" s="71"/>
      <c r="DO19" s="117"/>
      <c r="DP19" s="75"/>
      <c r="DQ19" s="75"/>
      <c r="DR19" s="75"/>
      <c r="DS19" s="155"/>
      <c r="DT19" s="71"/>
      <c r="DU19" s="71"/>
      <c r="DV19" s="117"/>
      <c r="DW19" s="111"/>
      <c r="DX19" s="111"/>
      <c r="DY19" s="111"/>
      <c r="DZ19" s="75"/>
      <c r="EA19" s="71"/>
      <c r="EB19" s="71"/>
      <c r="EC19" s="117"/>
      <c r="ED19" s="75"/>
      <c r="EE19" s="75"/>
      <c r="EF19" s="155"/>
      <c r="EG19" s="111"/>
      <c r="EH19" s="71"/>
      <c r="EI19" s="71"/>
      <c r="EJ19" s="117"/>
      <c r="EK19" s="111"/>
      <c r="EL19" s="111"/>
      <c r="EM19" s="111"/>
      <c r="EN19" s="111"/>
      <c r="EO19" s="71"/>
      <c r="EP19" s="156"/>
      <c r="EQ19" s="156"/>
      <c r="ER19" s="89" t="s">
        <v>58</v>
      </c>
      <c r="ES19" s="89" t="s">
        <v>58</v>
      </c>
      <c r="ET19" s="89" t="s">
        <v>58</v>
      </c>
      <c r="EU19" s="89" t="s">
        <v>58</v>
      </c>
      <c r="EV19" s="71"/>
      <c r="EW19" s="71"/>
      <c r="EX19" s="89" t="s">
        <v>58</v>
      </c>
      <c r="EY19" s="89" t="s">
        <v>58</v>
      </c>
      <c r="EZ19" s="89" t="s">
        <v>58</v>
      </c>
      <c r="FA19" s="156"/>
      <c r="FB19" s="157"/>
      <c r="FC19" s="71"/>
      <c r="FD19" s="71"/>
      <c r="FE19" s="158"/>
      <c r="FF19" s="158"/>
      <c r="FG19" s="158"/>
      <c r="FH19" s="158"/>
      <c r="FI19" s="158"/>
      <c r="FJ19" s="71"/>
      <c r="FK19" s="71"/>
      <c r="FL19" s="159"/>
      <c r="FM19" s="158"/>
      <c r="FN19" s="158"/>
      <c r="FO19" s="158"/>
      <c r="FP19" s="158"/>
      <c r="FQ19" s="71"/>
      <c r="FR19" s="71"/>
      <c r="FS19" s="159"/>
      <c r="FT19" s="157"/>
      <c r="FU19" s="157"/>
      <c r="FV19" s="157"/>
      <c r="FW19" s="160"/>
      <c r="FX19" s="71"/>
      <c r="FY19" s="71"/>
      <c r="FZ19" s="159"/>
      <c r="GA19" s="157"/>
      <c r="GB19" s="161"/>
      <c r="GC19" s="140"/>
      <c r="GD19" s="140"/>
      <c r="GE19" s="140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</row>
    <row r="20" ht="30.0" customHeight="1">
      <c r="A20" s="1"/>
      <c r="B20" s="162"/>
      <c r="C20" s="163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5" t="s">
        <v>87</v>
      </c>
      <c r="P20" s="166"/>
      <c r="Q20" s="166"/>
      <c r="R20" s="167"/>
      <c r="S20" s="168">
        <f>C2</f>
        <v>2026</v>
      </c>
      <c r="T20" s="166"/>
      <c r="U20" s="166"/>
      <c r="V20" s="167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9"/>
      <c r="AH20" s="170"/>
      <c r="AI20" s="164"/>
      <c r="AJ20" s="164"/>
      <c r="AK20" s="164"/>
      <c r="AL20" s="164"/>
      <c r="AM20" s="164"/>
      <c r="AN20" s="164"/>
      <c r="AO20" s="164"/>
      <c r="AP20" s="164"/>
      <c r="AQ20" s="164"/>
      <c r="AR20" s="165" t="s">
        <v>88</v>
      </c>
      <c r="AS20" s="166"/>
      <c r="AT20" s="167"/>
      <c r="AU20" s="168">
        <f>C2</f>
        <v>2026</v>
      </c>
      <c r="AV20" s="166"/>
      <c r="AW20" s="167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4"/>
      <c r="BL20" s="169"/>
      <c r="BM20" s="163"/>
      <c r="BN20" s="164"/>
      <c r="BO20" s="164"/>
      <c r="BP20" s="164"/>
      <c r="BQ20" s="164"/>
      <c r="BR20" s="164"/>
      <c r="BS20" s="164"/>
      <c r="BT20" s="164"/>
      <c r="BU20" s="164"/>
      <c r="BV20" s="164"/>
      <c r="BW20" s="164"/>
      <c r="BX20" s="164"/>
      <c r="BY20" s="165" t="s">
        <v>89</v>
      </c>
      <c r="BZ20" s="166"/>
      <c r="CA20" s="167"/>
      <c r="CB20" s="168">
        <f>C2</f>
        <v>2026</v>
      </c>
      <c r="CC20" s="166"/>
      <c r="CD20" s="167"/>
      <c r="CE20" s="164"/>
      <c r="CF20" s="164"/>
      <c r="CG20" s="164"/>
      <c r="CH20" s="164"/>
      <c r="CI20" s="164"/>
      <c r="CJ20" s="164"/>
      <c r="CK20" s="164"/>
      <c r="CL20" s="164"/>
      <c r="CM20" s="164"/>
      <c r="CN20" s="164"/>
      <c r="CO20" s="164"/>
      <c r="CP20" s="169"/>
      <c r="CQ20" s="163"/>
      <c r="CR20" s="164"/>
      <c r="CS20" s="164"/>
      <c r="CT20" s="164"/>
      <c r="CU20" s="164"/>
      <c r="CV20" s="164"/>
      <c r="CW20" s="164"/>
      <c r="CX20" s="164"/>
      <c r="CY20" s="164"/>
      <c r="CZ20" s="164"/>
      <c r="DA20" s="164"/>
      <c r="DB20" s="165" t="s">
        <v>90</v>
      </c>
      <c r="DC20" s="166"/>
      <c r="DD20" s="167"/>
      <c r="DE20" s="168">
        <f>C2</f>
        <v>2026</v>
      </c>
      <c r="DF20" s="166"/>
      <c r="DG20" s="167"/>
      <c r="DH20" s="164"/>
      <c r="DI20" s="164"/>
      <c r="DJ20" s="164"/>
      <c r="DK20" s="164"/>
      <c r="DL20" s="164"/>
      <c r="DM20" s="164"/>
      <c r="DN20" s="164"/>
      <c r="DO20" s="164"/>
      <c r="DP20" s="164"/>
      <c r="DQ20" s="164"/>
      <c r="DR20" s="164"/>
      <c r="DS20" s="164"/>
      <c r="DT20" s="164"/>
      <c r="DU20" s="171"/>
      <c r="DV20" s="163"/>
      <c r="DW20" s="164"/>
      <c r="DX20" s="164"/>
      <c r="DY20" s="164"/>
      <c r="DZ20" s="164"/>
      <c r="EA20" s="164"/>
      <c r="EB20" s="164"/>
      <c r="EC20" s="164"/>
      <c r="ED20" s="164"/>
      <c r="EE20" s="164"/>
      <c r="EF20" s="164"/>
      <c r="EG20" s="164"/>
      <c r="EH20" s="165" t="s">
        <v>91</v>
      </c>
      <c r="EI20" s="166"/>
      <c r="EJ20" s="167"/>
      <c r="EK20" s="168">
        <f>C2</f>
        <v>2026</v>
      </c>
      <c r="EL20" s="166"/>
      <c r="EM20" s="167"/>
      <c r="EN20" s="164"/>
      <c r="EO20" s="164"/>
      <c r="EP20" s="164"/>
      <c r="EQ20" s="164"/>
      <c r="ER20" s="164"/>
      <c r="ES20" s="164"/>
      <c r="ET20" s="164"/>
      <c r="EU20" s="164"/>
      <c r="EV20" s="164"/>
      <c r="EW20" s="164"/>
      <c r="EX20" s="164"/>
      <c r="EY20" s="164"/>
      <c r="EZ20" s="172"/>
      <c r="FA20" s="173"/>
      <c r="FB20" s="174"/>
      <c r="FC20" s="174"/>
      <c r="FD20" s="174"/>
      <c r="FE20" s="174"/>
      <c r="FF20" s="174"/>
      <c r="FG20" s="174"/>
      <c r="FH20" s="174"/>
      <c r="FI20" s="174"/>
      <c r="FJ20" s="174"/>
      <c r="FK20" s="175" t="s">
        <v>92</v>
      </c>
      <c r="FL20" s="47"/>
      <c r="FM20" s="176"/>
      <c r="FN20" s="177">
        <f>C2</f>
        <v>2026</v>
      </c>
      <c r="FO20" s="47"/>
      <c r="FP20" s="176"/>
      <c r="FQ20" s="174"/>
      <c r="FR20" s="174"/>
      <c r="FS20" s="174"/>
      <c r="FT20" s="174"/>
      <c r="FU20" s="174"/>
      <c r="FV20" s="174"/>
      <c r="FW20" s="174"/>
      <c r="FX20" s="174"/>
      <c r="FY20" s="174"/>
      <c r="FZ20" s="174"/>
      <c r="GA20" s="174"/>
      <c r="GB20" s="174"/>
      <c r="GC20" s="174"/>
      <c r="GD20" s="178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</row>
    <row r="21" ht="18.0" customHeight="1">
      <c r="A21" s="179"/>
      <c r="B21" s="180"/>
      <c r="C21" s="181"/>
      <c r="D21" s="34"/>
      <c r="E21" s="35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3" t="s">
        <v>93</v>
      </c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5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8"/>
      <c r="CR21" s="38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3" t="s">
        <v>94</v>
      </c>
      <c r="DO21" s="34"/>
      <c r="DP21" s="34"/>
      <c r="DQ21" s="34"/>
      <c r="DR21" s="34"/>
      <c r="DS21" s="34"/>
      <c r="DT21" s="34"/>
      <c r="DU21" s="34"/>
      <c r="DV21" s="35"/>
      <c r="DW21" s="182"/>
      <c r="DX21" s="182"/>
      <c r="DY21" s="182"/>
      <c r="DZ21" s="182"/>
      <c r="EA21" s="182"/>
      <c r="EB21" s="182"/>
      <c r="EC21" s="182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8"/>
      <c r="EZ21" s="38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183" t="s">
        <v>7</v>
      </c>
      <c r="FW21" s="47"/>
      <c r="FX21" s="47"/>
      <c r="FY21" s="47"/>
      <c r="FZ21" s="47"/>
      <c r="GA21" s="47"/>
      <c r="GB21" s="47"/>
      <c r="GC21" s="47"/>
      <c r="GD21" s="176"/>
      <c r="GE21" s="50"/>
      <c r="GF21" s="184"/>
      <c r="GG21" s="184"/>
      <c r="GH21" s="185"/>
      <c r="GI21" s="185"/>
      <c r="GJ21" s="185"/>
      <c r="GK21" s="185"/>
      <c r="GL21" s="185"/>
      <c r="GM21" s="185"/>
      <c r="GN21" s="185"/>
      <c r="GO21" s="185"/>
      <c r="GP21" s="185"/>
      <c r="GQ21" s="185"/>
      <c r="GR21" s="185"/>
      <c r="GS21" s="185"/>
      <c r="GT21" s="185"/>
      <c r="GU21" s="185"/>
      <c r="GV21" s="185"/>
      <c r="GW21" s="185"/>
      <c r="GX21" s="185"/>
      <c r="GY21" s="185"/>
      <c r="GZ21" s="185"/>
      <c r="HA21" s="185"/>
    </row>
    <row r="22" ht="18.0" customHeight="1">
      <c r="A22" s="179"/>
      <c r="B22" s="186"/>
      <c r="C22" s="46" t="s">
        <v>37</v>
      </c>
      <c r="D22" s="47"/>
      <c r="E22" s="47"/>
      <c r="F22" s="47"/>
      <c r="G22" s="48"/>
      <c r="H22" s="46" t="s">
        <v>95</v>
      </c>
      <c r="I22" s="47"/>
      <c r="J22" s="47"/>
      <c r="K22" s="47"/>
      <c r="L22" s="47"/>
      <c r="M22" s="47"/>
      <c r="N22" s="48"/>
      <c r="O22" s="46" t="s">
        <v>96</v>
      </c>
      <c r="P22" s="47"/>
      <c r="Q22" s="47"/>
      <c r="R22" s="47"/>
      <c r="S22" s="47"/>
      <c r="T22" s="47"/>
      <c r="U22" s="48"/>
      <c r="V22" s="46" t="s">
        <v>97</v>
      </c>
      <c r="W22" s="47"/>
      <c r="X22" s="47"/>
      <c r="Y22" s="47"/>
      <c r="Z22" s="47"/>
      <c r="AA22" s="47"/>
      <c r="AB22" s="48"/>
      <c r="AC22" s="46" t="s">
        <v>98</v>
      </c>
      <c r="AD22" s="47"/>
      <c r="AE22" s="47"/>
      <c r="AF22" s="47"/>
      <c r="AG22" s="47"/>
      <c r="AH22" s="47"/>
      <c r="AI22" s="48"/>
      <c r="AJ22" s="46" t="s">
        <v>99</v>
      </c>
      <c r="AK22" s="47"/>
      <c r="AL22" s="47"/>
      <c r="AM22" s="47"/>
      <c r="AN22" s="47"/>
      <c r="AO22" s="47"/>
      <c r="AP22" s="48"/>
      <c r="AQ22" s="46" t="s">
        <v>100</v>
      </c>
      <c r="AR22" s="47"/>
      <c r="AS22" s="47"/>
      <c r="AT22" s="47"/>
      <c r="AU22" s="47"/>
      <c r="AV22" s="47"/>
      <c r="AW22" s="48"/>
      <c r="AX22" s="46" t="s">
        <v>101</v>
      </c>
      <c r="AY22" s="47"/>
      <c r="AZ22" s="47"/>
      <c r="BA22" s="47"/>
      <c r="BB22" s="47"/>
      <c r="BC22" s="47"/>
      <c r="BD22" s="48"/>
      <c r="BE22" s="46" t="s">
        <v>102</v>
      </c>
      <c r="BF22" s="47"/>
      <c r="BG22" s="47"/>
      <c r="BH22" s="47"/>
      <c r="BI22" s="47"/>
      <c r="BJ22" s="47"/>
      <c r="BK22" s="48"/>
      <c r="BL22" s="46" t="s">
        <v>103</v>
      </c>
      <c r="BM22" s="47"/>
      <c r="BN22" s="47"/>
      <c r="BO22" s="47"/>
      <c r="BP22" s="47"/>
      <c r="BQ22" s="47"/>
      <c r="BR22" s="48"/>
      <c r="BS22" s="46" t="s">
        <v>104</v>
      </c>
      <c r="BT22" s="47"/>
      <c r="BU22" s="47"/>
      <c r="BV22" s="47"/>
      <c r="BW22" s="47"/>
      <c r="BX22" s="47"/>
      <c r="BY22" s="48"/>
      <c r="BZ22" s="46" t="s">
        <v>105</v>
      </c>
      <c r="CA22" s="47"/>
      <c r="CB22" s="47"/>
      <c r="CC22" s="47"/>
      <c r="CD22" s="47"/>
      <c r="CE22" s="47"/>
      <c r="CF22" s="48"/>
      <c r="CG22" s="46" t="s">
        <v>106</v>
      </c>
      <c r="CH22" s="47"/>
      <c r="CI22" s="47"/>
      <c r="CJ22" s="47"/>
      <c r="CK22" s="47"/>
      <c r="CL22" s="47"/>
      <c r="CM22" s="48"/>
      <c r="CN22" s="46" t="s">
        <v>107</v>
      </c>
      <c r="CO22" s="47"/>
      <c r="CP22" s="47"/>
      <c r="CQ22" s="47"/>
      <c r="CR22" s="47"/>
      <c r="CS22" s="47"/>
      <c r="CT22" s="48"/>
      <c r="CU22" s="46" t="s">
        <v>108</v>
      </c>
      <c r="CV22" s="47"/>
      <c r="CW22" s="47"/>
      <c r="CX22" s="47"/>
      <c r="CY22" s="47"/>
      <c r="CZ22" s="47"/>
      <c r="DA22" s="48"/>
      <c r="DB22" s="46" t="s">
        <v>109</v>
      </c>
      <c r="DC22" s="47"/>
      <c r="DD22" s="47"/>
      <c r="DE22" s="47"/>
      <c r="DF22" s="47"/>
      <c r="DG22" s="47"/>
      <c r="DH22" s="48"/>
      <c r="DI22" s="46" t="s">
        <v>110</v>
      </c>
      <c r="DJ22" s="47"/>
      <c r="DK22" s="47"/>
      <c r="DL22" s="47"/>
      <c r="DM22" s="47"/>
      <c r="DN22" s="47"/>
      <c r="DO22" s="48"/>
      <c r="DP22" s="46" t="s">
        <v>111</v>
      </c>
      <c r="DQ22" s="47"/>
      <c r="DR22" s="47"/>
      <c r="DS22" s="47"/>
      <c r="DT22" s="47"/>
      <c r="DU22" s="47"/>
      <c r="DV22" s="48"/>
      <c r="DW22" s="46" t="s">
        <v>112</v>
      </c>
      <c r="DX22" s="47"/>
      <c r="DY22" s="47"/>
      <c r="DZ22" s="47"/>
      <c r="EA22" s="47"/>
      <c r="EB22" s="47"/>
      <c r="EC22" s="48"/>
      <c r="ED22" s="46" t="s">
        <v>113</v>
      </c>
      <c r="EE22" s="47"/>
      <c r="EF22" s="47"/>
      <c r="EG22" s="47"/>
      <c r="EH22" s="47"/>
      <c r="EI22" s="47"/>
      <c r="EJ22" s="48"/>
      <c r="EK22" s="46" t="s">
        <v>114</v>
      </c>
      <c r="EL22" s="47"/>
      <c r="EM22" s="47"/>
      <c r="EN22" s="47"/>
      <c r="EO22" s="47"/>
      <c r="EP22" s="47"/>
      <c r="EQ22" s="48"/>
      <c r="ER22" s="46" t="s">
        <v>115</v>
      </c>
      <c r="ES22" s="47"/>
      <c r="ET22" s="47"/>
      <c r="EU22" s="47"/>
      <c r="EV22" s="47"/>
      <c r="EW22" s="47"/>
      <c r="EX22" s="48"/>
      <c r="EY22" s="46" t="s">
        <v>116</v>
      </c>
      <c r="EZ22" s="47"/>
      <c r="FA22" s="47"/>
      <c r="FB22" s="47"/>
      <c r="FC22" s="47"/>
      <c r="FD22" s="47"/>
      <c r="FE22" s="48"/>
      <c r="FF22" s="46" t="s">
        <v>117</v>
      </c>
      <c r="FG22" s="47"/>
      <c r="FH22" s="47"/>
      <c r="FI22" s="47"/>
      <c r="FJ22" s="47"/>
      <c r="FK22" s="47"/>
      <c r="FL22" s="48"/>
      <c r="FM22" s="46" t="s">
        <v>118</v>
      </c>
      <c r="FN22" s="47"/>
      <c r="FO22" s="47"/>
      <c r="FP22" s="47"/>
      <c r="FQ22" s="47"/>
      <c r="FR22" s="47"/>
      <c r="FS22" s="48"/>
      <c r="FT22" s="46" t="s">
        <v>119</v>
      </c>
      <c r="FU22" s="47"/>
      <c r="FV22" s="47"/>
      <c r="FW22" s="47"/>
      <c r="FX22" s="47"/>
      <c r="FY22" s="47"/>
      <c r="FZ22" s="48"/>
      <c r="GA22" s="46" t="s">
        <v>11</v>
      </c>
      <c r="GB22" s="47"/>
      <c r="GC22" s="47"/>
      <c r="GD22" s="48"/>
      <c r="GE22" s="50"/>
      <c r="GF22" s="184"/>
      <c r="GG22" s="184"/>
      <c r="GH22" s="184"/>
      <c r="GI22" s="184"/>
      <c r="GJ22" s="184"/>
      <c r="GK22" s="184"/>
      <c r="GL22" s="184"/>
      <c r="GM22" s="184"/>
      <c r="GN22" s="184"/>
      <c r="GO22" s="184"/>
      <c r="GP22" s="184"/>
      <c r="GQ22" s="184"/>
      <c r="GR22" s="184"/>
      <c r="GS22" s="184"/>
      <c r="GT22" s="184"/>
      <c r="GU22" s="184"/>
      <c r="GV22" s="184"/>
      <c r="GW22" s="184"/>
      <c r="GX22" s="184"/>
      <c r="GY22" s="184"/>
      <c r="GZ22" s="184"/>
      <c r="HA22" s="184"/>
    </row>
    <row r="23" ht="27.75" customHeight="1">
      <c r="A23" s="1"/>
      <c r="B23" s="187"/>
      <c r="C23" s="188">
        <v>1.0</v>
      </c>
      <c r="D23" s="58">
        <v>2.0</v>
      </c>
      <c r="E23" s="58">
        <v>3.0</v>
      </c>
      <c r="F23" s="58">
        <v>4.0</v>
      </c>
      <c r="G23" s="58">
        <v>5.0</v>
      </c>
      <c r="H23" s="58">
        <v>6.0</v>
      </c>
      <c r="I23" s="58">
        <v>7.0</v>
      </c>
      <c r="J23" s="58">
        <v>8.0</v>
      </c>
      <c r="K23" s="58">
        <v>9.0</v>
      </c>
      <c r="L23" s="58">
        <v>10.0</v>
      </c>
      <c r="M23" s="58">
        <v>11.0</v>
      </c>
      <c r="N23" s="58">
        <v>12.0</v>
      </c>
      <c r="O23" s="58">
        <v>13.0</v>
      </c>
      <c r="P23" s="58">
        <v>14.0</v>
      </c>
      <c r="Q23" s="58">
        <v>15.0</v>
      </c>
      <c r="R23" s="58">
        <v>16.0</v>
      </c>
      <c r="S23" s="58">
        <v>17.0</v>
      </c>
      <c r="T23" s="58">
        <v>18.0</v>
      </c>
      <c r="U23" s="58">
        <v>19.0</v>
      </c>
      <c r="V23" s="58">
        <v>20.0</v>
      </c>
      <c r="W23" s="58">
        <v>21.0</v>
      </c>
      <c r="X23" s="58">
        <v>22.0</v>
      </c>
      <c r="Y23" s="58">
        <v>23.0</v>
      </c>
      <c r="Z23" s="58">
        <v>24.0</v>
      </c>
      <c r="AA23" s="58">
        <v>25.0</v>
      </c>
      <c r="AB23" s="58">
        <v>26.0</v>
      </c>
      <c r="AC23" s="58">
        <v>27.0</v>
      </c>
      <c r="AD23" s="58">
        <v>28.0</v>
      </c>
      <c r="AE23" s="189">
        <v>29.0</v>
      </c>
      <c r="AF23" s="190">
        <v>30.0</v>
      </c>
      <c r="AG23" s="188">
        <v>31.0</v>
      </c>
      <c r="AH23" s="58">
        <v>1.0</v>
      </c>
      <c r="AI23" s="58">
        <v>2.0</v>
      </c>
      <c r="AJ23" s="58">
        <v>3.0</v>
      </c>
      <c r="AK23" s="58">
        <v>4.0</v>
      </c>
      <c r="AL23" s="58">
        <v>5.0</v>
      </c>
      <c r="AM23" s="58">
        <v>6.0</v>
      </c>
      <c r="AN23" s="58">
        <v>7.0</v>
      </c>
      <c r="AO23" s="58">
        <v>8.0</v>
      </c>
      <c r="AP23" s="58">
        <v>9.0</v>
      </c>
      <c r="AQ23" s="58">
        <v>10.0</v>
      </c>
      <c r="AR23" s="58">
        <v>11.0</v>
      </c>
      <c r="AS23" s="58">
        <v>12.0</v>
      </c>
      <c r="AT23" s="58">
        <v>13.0</v>
      </c>
      <c r="AU23" s="58">
        <v>14.0</v>
      </c>
      <c r="AV23" s="58">
        <v>15.0</v>
      </c>
      <c r="AW23" s="58">
        <v>16.0</v>
      </c>
      <c r="AX23" s="58">
        <v>17.0</v>
      </c>
      <c r="AY23" s="58">
        <v>18.0</v>
      </c>
      <c r="AZ23" s="58">
        <v>19.0</v>
      </c>
      <c r="BA23" s="58">
        <v>20.0</v>
      </c>
      <c r="BB23" s="58">
        <v>21.0</v>
      </c>
      <c r="BC23" s="58">
        <v>22.0</v>
      </c>
      <c r="BD23" s="58">
        <v>23.0</v>
      </c>
      <c r="BE23" s="58">
        <v>24.0</v>
      </c>
      <c r="BF23" s="58">
        <v>25.0</v>
      </c>
      <c r="BG23" s="58">
        <v>26.0</v>
      </c>
      <c r="BH23" s="58">
        <v>27.0</v>
      </c>
      <c r="BI23" s="58">
        <v>28.0</v>
      </c>
      <c r="BJ23" s="58">
        <v>29.0</v>
      </c>
      <c r="BK23" s="58">
        <v>30.0</v>
      </c>
      <c r="BL23" s="58">
        <v>31.0</v>
      </c>
      <c r="BM23" s="58">
        <v>1.0</v>
      </c>
      <c r="BN23" s="58">
        <v>2.0</v>
      </c>
      <c r="BO23" s="58">
        <v>3.0</v>
      </c>
      <c r="BP23" s="58">
        <v>4.0</v>
      </c>
      <c r="BQ23" s="58">
        <v>5.0</v>
      </c>
      <c r="BR23" s="58">
        <v>6.0</v>
      </c>
      <c r="BS23" s="58">
        <v>7.0</v>
      </c>
      <c r="BT23" s="58">
        <v>8.0</v>
      </c>
      <c r="BU23" s="58">
        <v>9.0</v>
      </c>
      <c r="BV23" s="58">
        <v>10.0</v>
      </c>
      <c r="BW23" s="58">
        <v>11.0</v>
      </c>
      <c r="BX23" s="58">
        <v>12.0</v>
      </c>
      <c r="BY23" s="58">
        <v>13.0</v>
      </c>
      <c r="BZ23" s="58">
        <v>14.0</v>
      </c>
      <c r="CA23" s="58">
        <v>15.0</v>
      </c>
      <c r="CB23" s="58">
        <v>16.0</v>
      </c>
      <c r="CC23" s="58">
        <v>17.0</v>
      </c>
      <c r="CD23" s="58">
        <v>18.0</v>
      </c>
      <c r="CE23" s="58">
        <v>19.0</v>
      </c>
      <c r="CF23" s="58">
        <v>20.0</v>
      </c>
      <c r="CG23" s="58">
        <v>21.0</v>
      </c>
      <c r="CH23" s="58">
        <v>22.0</v>
      </c>
      <c r="CI23" s="58">
        <v>23.0</v>
      </c>
      <c r="CJ23" s="58">
        <v>24.0</v>
      </c>
      <c r="CK23" s="58">
        <v>25.0</v>
      </c>
      <c r="CL23" s="58">
        <v>26.0</v>
      </c>
      <c r="CM23" s="58">
        <v>27.0</v>
      </c>
      <c r="CN23" s="58">
        <v>28.0</v>
      </c>
      <c r="CO23" s="58">
        <v>29.0</v>
      </c>
      <c r="CP23" s="58">
        <v>30.0</v>
      </c>
      <c r="CQ23" s="188">
        <v>1.0</v>
      </c>
      <c r="CR23" s="58">
        <v>2.0</v>
      </c>
      <c r="CS23" s="58">
        <v>3.0</v>
      </c>
      <c r="CT23" s="188">
        <v>4.0</v>
      </c>
      <c r="CU23" s="58">
        <v>5.0</v>
      </c>
      <c r="CV23" s="58">
        <v>6.0</v>
      </c>
      <c r="CW23" s="188">
        <v>7.0</v>
      </c>
      <c r="CX23" s="58">
        <v>8.0</v>
      </c>
      <c r="CY23" s="58">
        <v>9.0</v>
      </c>
      <c r="CZ23" s="188">
        <v>10.0</v>
      </c>
      <c r="DA23" s="58">
        <v>11.0</v>
      </c>
      <c r="DB23" s="58">
        <v>12.0</v>
      </c>
      <c r="DC23" s="188">
        <v>13.0</v>
      </c>
      <c r="DD23" s="58">
        <v>14.0</v>
      </c>
      <c r="DE23" s="58">
        <v>15.0</v>
      </c>
      <c r="DF23" s="188">
        <v>16.0</v>
      </c>
      <c r="DG23" s="58">
        <v>17.0</v>
      </c>
      <c r="DH23" s="58">
        <v>18.0</v>
      </c>
      <c r="DI23" s="188">
        <v>19.0</v>
      </c>
      <c r="DJ23" s="58">
        <v>20.0</v>
      </c>
      <c r="DK23" s="58">
        <v>21.0</v>
      </c>
      <c r="DL23" s="188">
        <v>22.0</v>
      </c>
      <c r="DM23" s="58">
        <v>23.0</v>
      </c>
      <c r="DN23" s="58">
        <v>24.0</v>
      </c>
      <c r="DO23" s="188">
        <v>25.0</v>
      </c>
      <c r="DP23" s="58">
        <v>26.0</v>
      </c>
      <c r="DQ23" s="58">
        <v>27.0</v>
      </c>
      <c r="DR23" s="188">
        <v>28.0</v>
      </c>
      <c r="DS23" s="58">
        <v>29.0</v>
      </c>
      <c r="DT23" s="58">
        <v>30.0</v>
      </c>
      <c r="DU23" s="188">
        <v>31.0</v>
      </c>
      <c r="DV23" s="188">
        <v>1.0</v>
      </c>
      <c r="DW23" s="58">
        <v>2.0</v>
      </c>
      <c r="DX23" s="58">
        <v>3.0</v>
      </c>
      <c r="DY23" s="188">
        <v>4.0</v>
      </c>
      <c r="DZ23" s="58">
        <v>5.0</v>
      </c>
      <c r="EA23" s="58">
        <v>6.0</v>
      </c>
      <c r="EB23" s="188">
        <v>7.0</v>
      </c>
      <c r="EC23" s="58">
        <v>8.0</v>
      </c>
      <c r="ED23" s="58">
        <v>9.0</v>
      </c>
      <c r="EE23" s="188">
        <v>10.0</v>
      </c>
      <c r="EF23" s="58">
        <v>11.0</v>
      </c>
      <c r="EG23" s="58">
        <v>12.0</v>
      </c>
      <c r="EH23" s="188">
        <v>13.0</v>
      </c>
      <c r="EI23" s="58">
        <v>14.0</v>
      </c>
      <c r="EJ23" s="58">
        <v>15.0</v>
      </c>
      <c r="EK23" s="188">
        <v>16.0</v>
      </c>
      <c r="EL23" s="58">
        <v>17.0</v>
      </c>
      <c r="EM23" s="58">
        <v>18.0</v>
      </c>
      <c r="EN23" s="188">
        <v>19.0</v>
      </c>
      <c r="EO23" s="58">
        <v>20.0</v>
      </c>
      <c r="EP23" s="58">
        <v>21.0</v>
      </c>
      <c r="EQ23" s="188">
        <v>22.0</v>
      </c>
      <c r="ER23" s="58">
        <v>23.0</v>
      </c>
      <c r="ES23" s="58">
        <v>24.0</v>
      </c>
      <c r="ET23" s="188">
        <v>25.0</v>
      </c>
      <c r="EU23" s="58">
        <v>26.0</v>
      </c>
      <c r="EV23" s="58">
        <v>27.0</v>
      </c>
      <c r="EW23" s="188">
        <v>28.0</v>
      </c>
      <c r="EX23" s="58">
        <v>29.0</v>
      </c>
      <c r="EY23" s="58">
        <v>30.0</v>
      </c>
      <c r="EZ23" s="58">
        <v>1.0</v>
      </c>
      <c r="FA23" s="58">
        <v>2.0</v>
      </c>
      <c r="FB23" s="58">
        <v>3.0</v>
      </c>
      <c r="FC23" s="188">
        <v>4.0</v>
      </c>
      <c r="FD23" s="58">
        <v>5.0</v>
      </c>
      <c r="FE23" s="58">
        <v>6.0</v>
      </c>
      <c r="FF23" s="188">
        <v>7.0</v>
      </c>
      <c r="FG23" s="58">
        <v>8.0</v>
      </c>
      <c r="FH23" s="58">
        <v>9.0</v>
      </c>
      <c r="FI23" s="188">
        <v>10.0</v>
      </c>
      <c r="FJ23" s="58">
        <v>11.0</v>
      </c>
      <c r="FK23" s="58">
        <v>12.0</v>
      </c>
      <c r="FL23" s="188">
        <v>13.0</v>
      </c>
      <c r="FM23" s="58">
        <v>14.0</v>
      </c>
      <c r="FN23" s="58">
        <v>15.0</v>
      </c>
      <c r="FO23" s="188">
        <v>16.0</v>
      </c>
      <c r="FP23" s="58">
        <v>17.0</v>
      </c>
      <c r="FQ23" s="58">
        <v>18.0</v>
      </c>
      <c r="FR23" s="188">
        <v>19.0</v>
      </c>
      <c r="FS23" s="58">
        <v>20.0</v>
      </c>
      <c r="FT23" s="58">
        <v>21.0</v>
      </c>
      <c r="FU23" s="188">
        <v>22.0</v>
      </c>
      <c r="FV23" s="58">
        <v>23.0</v>
      </c>
      <c r="FW23" s="58">
        <v>24.0</v>
      </c>
      <c r="FX23" s="188">
        <v>25.0</v>
      </c>
      <c r="FY23" s="58">
        <v>26.0</v>
      </c>
      <c r="FZ23" s="58">
        <v>27.0</v>
      </c>
      <c r="GA23" s="188">
        <v>28.0</v>
      </c>
      <c r="GB23" s="188">
        <v>29.0</v>
      </c>
      <c r="GC23" s="58">
        <v>30.0</v>
      </c>
      <c r="GD23" s="188">
        <v>31.0</v>
      </c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</row>
    <row r="24" ht="27.75" customHeight="1">
      <c r="A24" s="1"/>
      <c r="B24" s="191"/>
      <c r="C24" s="63" t="s">
        <v>44</v>
      </c>
      <c r="D24" s="63" t="s">
        <v>38</v>
      </c>
      <c r="E24" s="63" t="s">
        <v>39</v>
      </c>
      <c r="F24" s="63" t="s">
        <v>40</v>
      </c>
      <c r="G24" s="63" t="s">
        <v>41</v>
      </c>
      <c r="H24" s="63" t="s">
        <v>42</v>
      </c>
      <c r="I24" s="63" t="s">
        <v>43</v>
      </c>
      <c r="J24" s="63" t="s">
        <v>44</v>
      </c>
      <c r="K24" s="63" t="s">
        <v>38</v>
      </c>
      <c r="L24" s="63" t="s">
        <v>39</v>
      </c>
      <c r="M24" s="63" t="s">
        <v>40</v>
      </c>
      <c r="N24" s="63" t="s">
        <v>41</v>
      </c>
      <c r="O24" s="63" t="s">
        <v>42</v>
      </c>
      <c r="P24" s="63" t="s">
        <v>43</v>
      </c>
      <c r="Q24" s="63" t="s">
        <v>44</v>
      </c>
      <c r="R24" s="63" t="s">
        <v>38</v>
      </c>
      <c r="S24" s="63" t="s">
        <v>39</v>
      </c>
      <c r="T24" s="63" t="s">
        <v>40</v>
      </c>
      <c r="U24" s="63" t="s">
        <v>41</v>
      </c>
      <c r="V24" s="63" t="s">
        <v>42</v>
      </c>
      <c r="W24" s="63" t="s">
        <v>43</v>
      </c>
      <c r="X24" s="63" t="s">
        <v>44</v>
      </c>
      <c r="Y24" s="63" t="s">
        <v>38</v>
      </c>
      <c r="Z24" s="63" t="s">
        <v>39</v>
      </c>
      <c r="AA24" s="63" t="s">
        <v>40</v>
      </c>
      <c r="AB24" s="63" t="s">
        <v>41</v>
      </c>
      <c r="AC24" s="63" t="s">
        <v>42</v>
      </c>
      <c r="AD24" s="63" t="s">
        <v>43</v>
      </c>
      <c r="AE24" s="63" t="s">
        <v>44</v>
      </c>
      <c r="AF24" s="63" t="s">
        <v>38</v>
      </c>
      <c r="AG24" s="63" t="s">
        <v>39</v>
      </c>
      <c r="AH24" s="63" t="s">
        <v>40</v>
      </c>
      <c r="AI24" s="63" t="s">
        <v>41</v>
      </c>
      <c r="AJ24" s="63" t="s">
        <v>42</v>
      </c>
      <c r="AK24" s="63" t="s">
        <v>43</v>
      </c>
      <c r="AL24" s="63" t="s">
        <v>44</v>
      </c>
      <c r="AM24" s="63" t="s">
        <v>38</v>
      </c>
      <c r="AN24" s="63" t="s">
        <v>39</v>
      </c>
      <c r="AO24" s="63" t="s">
        <v>40</v>
      </c>
      <c r="AP24" s="63" t="s">
        <v>41</v>
      </c>
      <c r="AQ24" s="63" t="s">
        <v>42</v>
      </c>
      <c r="AR24" s="63" t="s">
        <v>43</v>
      </c>
      <c r="AS24" s="63" t="s">
        <v>44</v>
      </c>
      <c r="AT24" s="63" t="s">
        <v>38</v>
      </c>
      <c r="AU24" s="63" t="s">
        <v>39</v>
      </c>
      <c r="AV24" s="63" t="s">
        <v>40</v>
      </c>
      <c r="AW24" s="63" t="s">
        <v>41</v>
      </c>
      <c r="AX24" s="63" t="s">
        <v>42</v>
      </c>
      <c r="AY24" s="63" t="s">
        <v>43</v>
      </c>
      <c r="AZ24" s="63" t="s">
        <v>44</v>
      </c>
      <c r="BA24" s="63" t="s">
        <v>38</v>
      </c>
      <c r="BB24" s="63" t="s">
        <v>39</v>
      </c>
      <c r="BC24" s="63" t="s">
        <v>40</v>
      </c>
      <c r="BD24" s="63" t="s">
        <v>41</v>
      </c>
      <c r="BE24" s="63" t="s">
        <v>42</v>
      </c>
      <c r="BF24" s="63" t="s">
        <v>43</v>
      </c>
      <c r="BG24" s="63" t="s">
        <v>44</v>
      </c>
      <c r="BH24" s="63" t="s">
        <v>38</v>
      </c>
      <c r="BI24" s="63" t="s">
        <v>39</v>
      </c>
      <c r="BJ24" s="63" t="s">
        <v>40</v>
      </c>
      <c r="BK24" s="63" t="s">
        <v>41</v>
      </c>
      <c r="BL24" s="63" t="s">
        <v>42</v>
      </c>
      <c r="BM24" s="63" t="s">
        <v>43</v>
      </c>
      <c r="BN24" s="63" t="s">
        <v>44</v>
      </c>
      <c r="BO24" s="63" t="s">
        <v>38</v>
      </c>
      <c r="BP24" s="63" t="s">
        <v>39</v>
      </c>
      <c r="BQ24" s="63" t="s">
        <v>40</v>
      </c>
      <c r="BR24" s="63" t="s">
        <v>41</v>
      </c>
      <c r="BS24" s="63" t="s">
        <v>42</v>
      </c>
      <c r="BT24" s="63" t="s">
        <v>43</v>
      </c>
      <c r="BU24" s="63" t="s">
        <v>44</v>
      </c>
      <c r="BV24" s="63" t="s">
        <v>38</v>
      </c>
      <c r="BW24" s="63" t="s">
        <v>39</v>
      </c>
      <c r="BX24" s="63" t="s">
        <v>40</v>
      </c>
      <c r="BY24" s="63" t="s">
        <v>41</v>
      </c>
      <c r="BZ24" s="63" t="s">
        <v>42</v>
      </c>
      <c r="CA24" s="63" t="s">
        <v>43</v>
      </c>
      <c r="CB24" s="63" t="s">
        <v>44</v>
      </c>
      <c r="CC24" s="63" t="s">
        <v>38</v>
      </c>
      <c r="CD24" s="63" t="s">
        <v>39</v>
      </c>
      <c r="CE24" s="63" t="s">
        <v>40</v>
      </c>
      <c r="CF24" s="63" t="s">
        <v>41</v>
      </c>
      <c r="CG24" s="63" t="s">
        <v>42</v>
      </c>
      <c r="CH24" s="63" t="s">
        <v>43</v>
      </c>
      <c r="CI24" s="63" t="s">
        <v>44</v>
      </c>
      <c r="CJ24" s="63" t="s">
        <v>38</v>
      </c>
      <c r="CK24" s="63" t="s">
        <v>39</v>
      </c>
      <c r="CL24" s="63" t="s">
        <v>40</v>
      </c>
      <c r="CM24" s="63" t="s">
        <v>41</v>
      </c>
      <c r="CN24" s="63" t="s">
        <v>42</v>
      </c>
      <c r="CO24" s="63" t="s">
        <v>43</v>
      </c>
      <c r="CP24" s="63" t="s">
        <v>44</v>
      </c>
      <c r="CQ24" s="63" t="s">
        <v>38</v>
      </c>
      <c r="CR24" s="63" t="s">
        <v>39</v>
      </c>
      <c r="CS24" s="63" t="s">
        <v>40</v>
      </c>
      <c r="CT24" s="63" t="s">
        <v>41</v>
      </c>
      <c r="CU24" s="63" t="s">
        <v>42</v>
      </c>
      <c r="CV24" s="63" t="s">
        <v>43</v>
      </c>
      <c r="CW24" s="63" t="s">
        <v>44</v>
      </c>
      <c r="CX24" s="63" t="s">
        <v>38</v>
      </c>
      <c r="CY24" s="63" t="s">
        <v>39</v>
      </c>
      <c r="CZ24" s="63" t="s">
        <v>40</v>
      </c>
      <c r="DA24" s="63" t="s">
        <v>41</v>
      </c>
      <c r="DB24" s="63" t="s">
        <v>42</v>
      </c>
      <c r="DC24" s="63" t="s">
        <v>43</v>
      </c>
      <c r="DD24" s="63" t="s">
        <v>44</v>
      </c>
      <c r="DE24" s="63" t="s">
        <v>38</v>
      </c>
      <c r="DF24" s="63" t="s">
        <v>39</v>
      </c>
      <c r="DG24" s="63" t="s">
        <v>40</v>
      </c>
      <c r="DH24" s="63" t="s">
        <v>41</v>
      </c>
      <c r="DI24" s="63" t="s">
        <v>42</v>
      </c>
      <c r="DJ24" s="63" t="s">
        <v>43</v>
      </c>
      <c r="DK24" s="63" t="s">
        <v>44</v>
      </c>
      <c r="DL24" s="63" t="s">
        <v>38</v>
      </c>
      <c r="DM24" s="63" t="s">
        <v>39</v>
      </c>
      <c r="DN24" s="63" t="s">
        <v>40</v>
      </c>
      <c r="DO24" s="63" t="s">
        <v>41</v>
      </c>
      <c r="DP24" s="63" t="s">
        <v>42</v>
      </c>
      <c r="DQ24" s="63" t="s">
        <v>43</v>
      </c>
      <c r="DR24" s="63" t="s">
        <v>44</v>
      </c>
      <c r="DS24" s="63" t="s">
        <v>38</v>
      </c>
      <c r="DT24" s="63" t="s">
        <v>39</v>
      </c>
      <c r="DU24" s="63" t="s">
        <v>40</v>
      </c>
      <c r="DV24" s="63" t="s">
        <v>41</v>
      </c>
      <c r="DW24" s="63" t="s">
        <v>42</v>
      </c>
      <c r="DX24" s="63" t="s">
        <v>43</v>
      </c>
      <c r="DY24" s="63" t="s">
        <v>44</v>
      </c>
      <c r="DZ24" s="63" t="s">
        <v>38</v>
      </c>
      <c r="EA24" s="63" t="s">
        <v>39</v>
      </c>
      <c r="EB24" s="63" t="s">
        <v>40</v>
      </c>
      <c r="EC24" s="63" t="s">
        <v>41</v>
      </c>
      <c r="ED24" s="63" t="s">
        <v>42</v>
      </c>
      <c r="EE24" s="63" t="s">
        <v>43</v>
      </c>
      <c r="EF24" s="63" t="s">
        <v>44</v>
      </c>
      <c r="EG24" s="63" t="s">
        <v>38</v>
      </c>
      <c r="EH24" s="63" t="s">
        <v>39</v>
      </c>
      <c r="EI24" s="63" t="s">
        <v>40</v>
      </c>
      <c r="EJ24" s="63" t="s">
        <v>41</v>
      </c>
      <c r="EK24" s="63" t="s">
        <v>42</v>
      </c>
      <c r="EL24" s="63" t="s">
        <v>43</v>
      </c>
      <c r="EM24" s="63" t="s">
        <v>44</v>
      </c>
      <c r="EN24" s="63" t="s">
        <v>38</v>
      </c>
      <c r="EO24" s="63" t="s">
        <v>39</v>
      </c>
      <c r="EP24" s="63" t="s">
        <v>40</v>
      </c>
      <c r="EQ24" s="63" t="s">
        <v>41</v>
      </c>
      <c r="ER24" s="63" t="s">
        <v>42</v>
      </c>
      <c r="ES24" s="63" t="s">
        <v>43</v>
      </c>
      <c r="ET24" s="63" t="s">
        <v>44</v>
      </c>
      <c r="EU24" s="63" t="s">
        <v>38</v>
      </c>
      <c r="EV24" s="63" t="s">
        <v>39</v>
      </c>
      <c r="EW24" s="63" t="s">
        <v>40</v>
      </c>
      <c r="EX24" s="63" t="s">
        <v>41</v>
      </c>
      <c r="EY24" s="63" t="s">
        <v>42</v>
      </c>
      <c r="EZ24" s="63" t="s">
        <v>43</v>
      </c>
      <c r="FA24" s="63" t="s">
        <v>44</v>
      </c>
      <c r="FB24" s="63" t="s">
        <v>38</v>
      </c>
      <c r="FC24" s="63" t="s">
        <v>39</v>
      </c>
      <c r="FD24" s="63" t="s">
        <v>40</v>
      </c>
      <c r="FE24" s="63" t="s">
        <v>41</v>
      </c>
      <c r="FF24" s="63" t="s">
        <v>42</v>
      </c>
      <c r="FG24" s="63" t="s">
        <v>43</v>
      </c>
      <c r="FH24" s="63" t="s">
        <v>44</v>
      </c>
      <c r="FI24" s="63" t="s">
        <v>38</v>
      </c>
      <c r="FJ24" s="63" t="s">
        <v>39</v>
      </c>
      <c r="FK24" s="63" t="s">
        <v>40</v>
      </c>
      <c r="FL24" s="63" t="s">
        <v>41</v>
      </c>
      <c r="FM24" s="63" t="s">
        <v>42</v>
      </c>
      <c r="FN24" s="63" t="s">
        <v>43</v>
      </c>
      <c r="FO24" s="63" t="s">
        <v>44</v>
      </c>
      <c r="FP24" s="63" t="s">
        <v>38</v>
      </c>
      <c r="FQ24" s="63" t="s">
        <v>39</v>
      </c>
      <c r="FR24" s="63" t="s">
        <v>40</v>
      </c>
      <c r="FS24" s="63" t="s">
        <v>41</v>
      </c>
      <c r="FT24" s="63" t="s">
        <v>42</v>
      </c>
      <c r="FU24" s="63" t="s">
        <v>43</v>
      </c>
      <c r="FV24" s="63" t="s">
        <v>44</v>
      </c>
      <c r="FW24" s="63" t="s">
        <v>38</v>
      </c>
      <c r="FX24" s="63" t="s">
        <v>39</v>
      </c>
      <c r="FY24" s="63" t="s">
        <v>40</v>
      </c>
      <c r="FZ24" s="63" t="s">
        <v>41</v>
      </c>
      <c r="GA24" s="63" t="s">
        <v>42</v>
      </c>
      <c r="GB24" s="63" t="s">
        <v>43</v>
      </c>
      <c r="GC24" s="63" t="s">
        <v>44</v>
      </c>
      <c r="GD24" s="63" t="s">
        <v>38</v>
      </c>
      <c r="GE24" s="192" t="s">
        <v>120</v>
      </c>
      <c r="GF24" s="193"/>
      <c r="GG24" s="192" t="s">
        <v>121</v>
      </c>
      <c r="GH24" s="193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</row>
    <row r="25" ht="27.75" customHeight="1">
      <c r="A25" s="1"/>
      <c r="B25" s="68" t="s">
        <v>45</v>
      </c>
      <c r="C25" s="73" t="s">
        <v>48</v>
      </c>
      <c r="D25" s="73" t="s">
        <v>48</v>
      </c>
      <c r="E25" s="81" t="s">
        <v>54</v>
      </c>
      <c r="F25" s="71"/>
      <c r="G25" s="71"/>
      <c r="H25" s="84"/>
      <c r="I25" s="75"/>
      <c r="J25" s="75"/>
      <c r="K25" s="75"/>
      <c r="L25" s="75"/>
      <c r="M25" s="71"/>
      <c r="N25" s="71"/>
      <c r="O25" s="89" t="s">
        <v>58</v>
      </c>
      <c r="P25" s="89" t="s">
        <v>58</v>
      </c>
      <c r="Q25" s="89" t="s">
        <v>58</v>
      </c>
      <c r="R25" s="89" t="s">
        <v>58</v>
      </c>
      <c r="S25" s="89" t="s">
        <v>58</v>
      </c>
      <c r="T25" s="71"/>
      <c r="U25" s="71"/>
      <c r="V25" s="84"/>
      <c r="W25" s="92"/>
      <c r="X25" s="92"/>
      <c r="Y25" s="92"/>
      <c r="Z25" s="92"/>
      <c r="AA25" s="71"/>
      <c r="AB25" s="71"/>
      <c r="AC25" s="84"/>
      <c r="AD25" s="80"/>
      <c r="AE25" s="80"/>
      <c r="AF25" s="80"/>
      <c r="AG25" s="80"/>
      <c r="AH25" s="71"/>
      <c r="AI25" s="71"/>
      <c r="AJ25" s="84"/>
      <c r="AK25" s="90"/>
      <c r="AL25" s="119"/>
      <c r="AM25" s="120"/>
      <c r="AN25" s="76"/>
      <c r="AO25" s="71"/>
      <c r="AP25" s="73" t="s">
        <v>48</v>
      </c>
      <c r="AQ25" s="73" t="s">
        <v>48</v>
      </c>
      <c r="AR25" s="73" t="s">
        <v>48</v>
      </c>
      <c r="AS25" s="73" t="s">
        <v>48</v>
      </c>
      <c r="AT25" s="73" t="s">
        <v>48</v>
      </c>
      <c r="AU25" s="81" t="s">
        <v>54</v>
      </c>
      <c r="AV25" s="71"/>
      <c r="AW25" s="71"/>
      <c r="AX25" s="89" t="s">
        <v>58</v>
      </c>
      <c r="AY25" s="89" t="s">
        <v>58</v>
      </c>
      <c r="AZ25" s="89" t="s">
        <v>58</v>
      </c>
      <c r="BA25" s="89" t="s">
        <v>58</v>
      </c>
      <c r="BB25" s="89" t="s">
        <v>58</v>
      </c>
      <c r="BC25" s="71"/>
      <c r="BD25" s="71"/>
      <c r="BE25" s="89" t="s">
        <v>58</v>
      </c>
      <c r="BF25" s="89" t="s">
        <v>58</v>
      </c>
      <c r="BG25" s="89" t="s">
        <v>58</v>
      </c>
      <c r="BH25" s="89" t="s">
        <v>58</v>
      </c>
      <c r="BI25" s="89" t="s">
        <v>58</v>
      </c>
      <c r="BJ25" s="71"/>
      <c r="BK25" s="71"/>
      <c r="BL25" s="89" t="s">
        <v>58</v>
      </c>
      <c r="BM25" s="89" t="s">
        <v>58</v>
      </c>
      <c r="BN25" s="89" t="s">
        <v>58</v>
      </c>
      <c r="BO25" s="89" t="s">
        <v>58</v>
      </c>
      <c r="BP25" s="89" t="s">
        <v>58</v>
      </c>
      <c r="BQ25" s="71"/>
      <c r="BR25" s="71"/>
      <c r="BS25" s="89" t="s">
        <v>58</v>
      </c>
      <c r="BT25" s="89" t="s">
        <v>58</v>
      </c>
      <c r="BU25" s="89" t="s">
        <v>58</v>
      </c>
      <c r="BV25" s="89" t="s">
        <v>58</v>
      </c>
      <c r="BW25" s="89" t="s">
        <v>58</v>
      </c>
      <c r="BX25" s="71"/>
      <c r="BY25" s="71"/>
      <c r="BZ25" s="84"/>
      <c r="CA25" s="76"/>
      <c r="CB25" s="75"/>
      <c r="CC25" s="120"/>
      <c r="CD25" s="76"/>
      <c r="CE25" s="71"/>
      <c r="CF25" s="71"/>
      <c r="CG25" s="84"/>
      <c r="CH25" s="84"/>
      <c r="CI25" s="75"/>
      <c r="CJ25" s="75"/>
      <c r="CK25" s="75"/>
      <c r="CL25" s="71"/>
      <c r="CM25" s="73" t="s">
        <v>48</v>
      </c>
      <c r="CN25" s="73" t="s">
        <v>48</v>
      </c>
      <c r="CO25" s="73" t="s">
        <v>48</v>
      </c>
      <c r="CP25" s="73" t="s">
        <v>48</v>
      </c>
      <c r="CQ25" s="73" t="s">
        <v>48</v>
      </c>
      <c r="CR25" s="81" t="s">
        <v>54</v>
      </c>
      <c r="CS25" s="194"/>
      <c r="CT25" s="71"/>
      <c r="CU25" s="84"/>
      <c r="CV25" s="102"/>
      <c r="CW25" s="102"/>
      <c r="CX25" s="102"/>
      <c r="CY25" s="102"/>
      <c r="CZ25" s="71"/>
      <c r="DA25" s="71"/>
      <c r="DB25" s="109"/>
      <c r="DC25" s="109"/>
      <c r="DD25" s="109"/>
      <c r="DE25" s="109"/>
      <c r="DF25" s="109"/>
      <c r="DG25" s="71"/>
      <c r="DH25" s="71"/>
      <c r="DI25" s="84"/>
      <c r="DJ25" s="76"/>
      <c r="DK25" s="75"/>
      <c r="DL25" s="120"/>
      <c r="DM25" s="76"/>
      <c r="DN25" s="71"/>
      <c r="DO25" s="71"/>
      <c r="DP25" s="84"/>
      <c r="DQ25" s="102"/>
      <c r="DR25" s="102"/>
      <c r="DS25" s="102"/>
      <c r="DT25" s="102"/>
      <c r="DU25" s="71"/>
      <c r="DV25" s="195"/>
      <c r="DW25" s="88"/>
      <c r="DX25" s="88"/>
      <c r="DY25" s="88"/>
      <c r="DZ25" s="88"/>
      <c r="EA25" s="88"/>
      <c r="EB25" s="71"/>
      <c r="EC25" s="73" t="s">
        <v>48</v>
      </c>
      <c r="ED25" s="73" t="s">
        <v>48</v>
      </c>
      <c r="EE25" s="73" t="s">
        <v>48</v>
      </c>
      <c r="EF25" s="73" t="s">
        <v>48</v>
      </c>
      <c r="EG25" s="73" t="s">
        <v>48</v>
      </c>
      <c r="EH25" s="81" t="s">
        <v>54</v>
      </c>
      <c r="EI25" s="71"/>
      <c r="EJ25" s="71"/>
      <c r="EK25" s="84"/>
      <c r="EL25" s="76"/>
      <c r="EM25" s="75"/>
      <c r="EN25" s="80"/>
      <c r="EO25" s="76"/>
      <c r="EP25" s="71"/>
      <c r="EQ25" s="71"/>
      <c r="ER25" s="84"/>
      <c r="ES25" s="76"/>
      <c r="ET25" s="92"/>
      <c r="EU25" s="76"/>
      <c r="EV25" s="75"/>
      <c r="EW25" s="71"/>
      <c r="EX25" s="71"/>
      <c r="EY25" s="88"/>
      <c r="EZ25" s="88"/>
      <c r="FA25" s="88"/>
      <c r="FB25" s="88"/>
      <c r="FC25" s="88"/>
      <c r="FD25" s="71"/>
      <c r="FE25" s="71"/>
      <c r="FF25" s="84"/>
      <c r="FG25" s="75"/>
      <c r="FH25" s="75"/>
      <c r="FI25" s="75"/>
      <c r="FJ25" s="75"/>
      <c r="FK25" s="71"/>
      <c r="FL25" s="71"/>
      <c r="FM25" s="84"/>
      <c r="FN25" s="76"/>
      <c r="FO25" s="76"/>
      <c r="FP25" s="76"/>
      <c r="FQ25" s="76"/>
      <c r="FR25" s="71"/>
      <c r="FS25" s="73" t="s">
        <v>48</v>
      </c>
      <c r="FT25" s="73" t="s">
        <v>48</v>
      </c>
      <c r="FU25" s="73" t="s">
        <v>48</v>
      </c>
      <c r="FV25" s="73" t="s">
        <v>48</v>
      </c>
      <c r="FW25" s="85"/>
      <c r="FX25" s="85"/>
      <c r="FY25" s="85"/>
      <c r="FZ25" s="71"/>
      <c r="GA25" s="84"/>
      <c r="GB25" s="196"/>
      <c r="GC25" s="196"/>
      <c r="GD25" s="197"/>
      <c r="GE25" s="198"/>
      <c r="GF25" s="199"/>
      <c r="GG25" s="200"/>
      <c r="GH25" s="14"/>
      <c r="GI25" s="14"/>
      <c r="GJ25" s="14"/>
      <c r="GK25" s="9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</row>
    <row r="26" ht="27.75" customHeight="1">
      <c r="A26" s="1"/>
      <c r="B26" s="95" t="s">
        <v>59</v>
      </c>
      <c r="C26" s="89" t="s">
        <v>58</v>
      </c>
      <c r="D26" s="89" t="s">
        <v>58</v>
      </c>
      <c r="E26" s="89" t="s">
        <v>58</v>
      </c>
      <c r="F26" s="71"/>
      <c r="G26" s="71"/>
      <c r="H26" s="89" t="s">
        <v>58</v>
      </c>
      <c r="I26" s="89" t="s">
        <v>58</v>
      </c>
      <c r="J26" s="89" t="s">
        <v>58</v>
      </c>
      <c r="K26" s="89" t="s">
        <v>58</v>
      </c>
      <c r="L26" s="89" t="s">
        <v>58</v>
      </c>
      <c r="M26" s="71"/>
      <c r="N26" s="73" t="s">
        <v>48</v>
      </c>
      <c r="O26" s="73" t="s">
        <v>48</v>
      </c>
      <c r="P26" s="73" t="s">
        <v>48</v>
      </c>
      <c r="Q26" s="73" t="s">
        <v>48</v>
      </c>
      <c r="R26" s="73" t="s">
        <v>48</v>
      </c>
      <c r="S26" s="81" t="s">
        <v>54</v>
      </c>
      <c r="T26" s="71"/>
      <c r="U26" s="71"/>
      <c r="V26" s="84"/>
      <c r="W26" s="92"/>
      <c r="X26" s="92"/>
      <c r="Y26" s="92"/>
      <c r="Z26" s="92"/>
      <c r="AA26" s="71"/>
      <c r="AB26" s="71"/>
      <c r="AC26" s="88"/>
      <c r="AD26" s="88"/>
      <c r="AE26" s="92"/>
      <c r="AF26" s="88"/>
      <c r="AG26" s="88"/>
      <c r="AH26" s="71"/>
      <c r="AI26" s="71"/>
      <c r="AJ26" s="84"/>
      <c r="AK26" s="75"/>
      <c r="AL26" s="75"/>
      <c r="AM26" s="75"/>
      <c r="AN26" s="75"/>
      <c r="AO26" s="71"/>
      <c r="AP26" s="71"/>
      <c r="AQ26" s="84"/>
      <c r="AR26" s="76"/>
      <c r="AS26" s="76"/>
      <c r="AT26" s="76"/>
      <c r="AU26" s="76"/>
      <c r="AV26" s="71"/>
      <c r="AW26" s="71"/>
      <c r="AX26" s="84"/>
      <c r="AY26" s="75"/>
      <c r="AZ26" s="75"/>
      <c r="BA26" s="75"/>
      <c r="BB26" s="102"/>
      <c r="BC26" s="71"/>
      <c r="BD26" s="73" t="s">
        <v>48</v>
      </c>
      <c r="BE26" s="73" t="s">
        <v>48</v>
      </c>
      <c r="BF26" s="73" t="s">
        <v>48</v>
      </c>
      <c r="BG26" s="73" t="s">
        <v>48</v>
      </c>
      <c r="BH26" s="73" t="s">
        <v>48</v>
      </c>
      <c r="BI26" s="81" t="s">
        <v>54</v>
      </c>
      <c r="BJ26" s="71"/>
      <c r="BK26" s="71"/>
      <c r="BL26" s="84"/>
      <c r="BM26" s="119"/>
      <c r="BN26" s="119"/>
      <c r="BO26" s="76"/>
      <c r="BP26" s="76"/>
      <c r="BQ26" s="71"/>
      <c r="BR26" s="71"/>
      <c r="BS26" s="88"/>
      <c r="BT26" s="88"/>
      <c r="BU26" s="88"/>
      <c r="BV26" s="88"/>
      <c r="BW26" s="88"/>
      <c r="BX26" s="71"/>
      <c r="BY26" s="71"/>
      <c r="BZ26" s="84"/>
      <c r="CA26" s="75"/>
      <c r="CB26" s="75"/>
      <c r="CC26" s="75"/>
      <c r="CD26" s="75"/>
      <c r="CE26" s="71"/>
      <c r="CF26" s="73" t="s">
        <v>48</v>
      </c>
      <c r="CG26" s="73" t="s">
        <v>48</v>
      </c>
      <c r="CH26" s="73" t="s">
        <v>48</v>
      </c>
      <c r="CI26" s="73" t="s">
        <v>48</v>
      </c>
      <c r="CJ26" s="73" t="s">
        <v>48</v>
      </c>
      <c r="CK26" s="81" t="s">
        <v>54</v>
      </c>
      <c r="CL26" s="71"/>
      <c r="CM26" s="71"/>
      <c r="CN26" s="84"/>
      <c r="CO26" s="102"/>
      <c r="CP26" s="102"/>
      <c r="CQ26" s="102"/>
      <c r="CR26" s="102"/>
      <c r="CS26" s="97"/>
      <c r="CT26" s="71"/>
      <c r="CU26" s="89" t="s">
        <v>58</v>
      </c>
      <c r="CV26" s="89" t="s">
        <v>58</v>
      </c>
      <c r="CW26" s="89" t="s">
        <v>58</v>
      </c>
      <c r="CX26" s="89" t="s">
        <v>58</v>
      </c>
      <c r="CY26" s="89" t="s">
        <v>58</v>
      </c>
      <c r="CZ26" s="71"/>
      <c r="DA26" s="71"/>
      <c r="DB26" s="89" t="s">
        <v>58</v>
      </c>
      <c r="DC26" s="89" t="s">
        <v>58</v>
      </c>
      <c r="DD26" s="89" t="s">
        <v>58</v>
      </c>
      <c r="DE26" s="89" t="s">
        <v>58</v>
      </c>
      <c r="DF26" s="89" t="s">
        <v>58</v>
      </c>
      <c r="DG26" s="71"/>
      <c r="DH26" s="71"/>
      <c r="DI26" s="84"/>
      <c r="DJ26" s="76"/>
      <c r="DK26" s="76"/>
      <c r="DL26" s="76"/>
      <c r="DM26" s="76"/>
      <c r="DN26" s="71"/>
      <c r="DO26" s="71"/>
      <c r="DP26" s="88"/>
      <c r="DQ26" s="88"/>
      <c r="DR26" s="88"/>
      <c r="DS26" s="88"/>
      <c r="DT26" s="88"/>
      <c r="DU26" s="71"/>
      <c r="DV26" s="97"/>
      <c r="DW26" s="73" t="s">
        <v>48</v>
      </c>
      <c r="DX26" s="73" t="s">
        <v>48</v>
      </c>
      <c r="DY26" s="73" t="s">
        <v>48</v>
      </c>
      <c r="DZ26" s="73" t="s">
        <v>48</v>
      </c>
      <c r="EA26" s="81" t="s">
        <v>54</v>
      </c>
      <c r="EB26" s="71"/>
      <c r="EC26" s="71"/>
      <c r="ED26" s="84"/>
      <c r="EE26" s="76"/>
      <c r="EF26" s="75"/>
      <c r="EG26" s="75"/>
      <c r="EH26" s="75"/>
      <c r="EI26" s="71"/>
      <c r="EJ26" s="71"/>
      <c r="EK26" s="84"/>
      <c r="EL26" s="75"/>
      <c r="EM26" s="75"/>
      <c r="EN26" s="75"/>
      <c r="EO26" s="75"/>
      <c r="EP26" s="71"/>
      <c r="EQ26" s="71"/>
      <c r="ER26" s="84"/>
      <c r="ES26" s="75"/>
      <c r="ET26" s="75"/>
      <c r="EU26" s="75"/>
      <c r="EV26" s="111"/>
      <c r="EW26" s="71"/>
      <c r="EX26" s="71"/>
      <c r="EY26" s="84"/>
      <c r="EZ26" s="76"/>
      <c r="FA26" s="76"/>
      <c r="FB26" s="76"/>
      <c r="FC26" s="76"/>
      <c r="FD26" s="71"/>
      <c r="FE26" s="73" t="s">
        <v>48</v>
      </c>
      <c r="FF26" s="73" t="s">
        <v>48</v>
      </c>
      <c r="FG26" s="73" t="s">
        <v>48</v>
      </c>
      <c r="FH26" s="73" t="s">
        <v>48</v>
      </c>
      <c r="FI26" s="73" t="s">
        <v>48</v>
      </c>
      <c r="FJ26" s="81" t="s">
        <v>54</v>
      </c>
      <c r="FK26" s="71"/>
      <c r="FL26" s="71"/>
      <c r="FM26" s="84"/>
      <c r="FN26" s="76"/>
      <c r="FO26" s="76"/>
      <c r="FP26" s="76"/>
      <c r="FQ26" s="89" t="s">
        <v>58</v>
      </c>
      <c r="FR26" s="71"/>
      <c r="FS26" s="71"/>
      <c r="FT26" s="89" t="s">
        <v>58</v>
      </c>
      <c r="FU26" s="89" t="s">
        <v>58</v>
      </c>
      <c r="FV26" s="89" t="s">
        <v>58</v>
      </c>
      <c r="FW26" s="97"/>
      <c r="FX26" s="97"/>
      <c r="FY26" s="97"/>
      <c r="FZ26" s="71"/>
      <c r="GA26" s="89" t="s">
        <v>58</v>
      </c>
      <c r="GB26" s="89" t="s">
        <v>58</v>
      </c>
      <c r="GC26" s="89" t="s">
        <v>58</v>
      </c>
      <c r="GD26" s="201"/>
      <c r="GE26" s="198"/>
      <c r="GF26" s="199"/>
      <c r="GG26" s="9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</row>
    <row r="27" ht="27.75" customHeight="1">
      <c r="A27" s="1"/>
      <c r="B27" s="95" t="s">
        <v>61</v>
      </c>
      <c r="C27" s="76"/>
      <c r="D27" s="76"/>
      <c r="E27" s="76"/>
      <c r="F27" s="71"/>
      <c r="G27" s="71"/>
      <c r="H27" s="84"/>
      <c r="I27" s="76"/>
      <c r="J27" s="76"/>
      <c r="K27" s="76"/>
      <c r="L27" s="76"/>
      <c r="M27" s="71"/>
      <c r="N27" s="71"/>
      <c r="O27" s="84"/>
      <c r="P27" s="76"/>
      <c r="Q27" s="76"/>
      <c r="R27" s="76"/>
      <c r="S27" s="76"/>
      <c r="T27" s="71"/>
      <c r="U27" s="71"/>
      <c r="V27" s="84"/>
      <c r="W27" s="76"/>
      <c r="X27" s="76"/>
      <c r="Y27" s="76"/>
      <c r="Z27" s="76"/>
      <c r="AA27" s="71"/>
      <c r="AB27" s="71"/>
      <c r="AC27" s="84"/>
      <c r="AD27" s="76"/>
      <c r="AE27" s="76"/>
      <c r="AF27" s="76"/>
      <c r="AG27" s="76"/>
      <c r="AH27" s="71"/>
      <c r="AI27" s="71"/>
      <c r="AJ27" s="84"/>
      <c r="AK27" s="102"/>
      <c r="AL27" s="102"/>
      <c r="AM27" s="102"/>
      <c r="AN27" s="102"/>
      <c r="AO27" s="71"/>
      <c r="AP27" s="71"/>
      <c r="AQ27" s="84"/>
      <c r="AR27" s="76"/>
      <c r="AS27" s="76"/>
      <c r="AT27" s="76"/>
      <c r="AU27" s="76"/>
      <c r="AV27" s="71"/>
      <c r="AW27" s="71"/>
      <c r="AX27" s="84"/>
      <c r="AY27" s="76"/>
      <c r="AZ27" s="76"/>
      <c r="BA27" s="76"/>
      <c r="BB27" s="76"/>
      <c r="BC27" s="71"/>
      <c r="BD27" s="71"/>
      <c r="BE27" s="84"/>
      <c r="BF27" s="88"/>
      <c r="BG27" s="88"/>
      <c r="BH27" s="88"/>
      <c r="BI27" s="88"/>
      <c r="BJ27" s="71"/>
      <c r="BK27" s="71"/>
      <c r="BL27" s="84"/>
      <c r="BM27" s="84"/>
      <c r="BN27" s="75"/>
      <c r="BO27" s="75"/>
      <c r="BP27" s="75"/>
      <c r="BQ27" s="71"/>
      <c r="BR27" s="71"/>
      <c r="BS27" s="84"/>
      <c r="BT27" s="84"/>
      <c r="BU27" s="76"/>
      <c r="BV27" s="80"/>
      <c r="BW27" s="76"/>
      <c r="BX27" s="71"/>
      <c r="BY27" s="71"/>
      <c r="BZ27" s="84"/>
      <c r="CA27" s="84"/>
      <c r="CB27" s="76"/>
      <c r="CC27" s="75"/>
      <c r="CD27" s="76"/>
      <c r="CE27" s="71"/>
      <c r="CF27" s="71"/>
      <c r="CG27" s="84"/>
      <c r="CH27" s="84"/>
      <c r="CI27" s="75"/>
      <c r="CJ27" s="75"/>
      <c r="CK27" s="75"/>
      <c r="CL27" s="71"/>
      <c r="CM27" s="71"/>
      <c r="CN27" s="84"/>
      <c r="CO27" s="84"/>
      <c r="CP27" s="76"/>
      <c r="CQ27" s="75"/>
      <c r="CR27" s="76"/>
      <c r="CS27" s="97"/>
      <c r="CT27" s="71"/>
      <c r="CU27" s="84"/>
      <c r="CV27" s="80"/>
      <c r="CW27" s="80"/>
      <c r="CX27" s="80"/>
      <c r="CY27" s="80"/>
      <c r="CZ27" s="71"/>
      <c r="DA27" s="71"/>
      <c r="DB27" s="109"/>
      <c r="DC27" s="109"/>
      <c r="DD27" s="109"/>
      <c r="DE27" s="109"/>
      <c r="DF27" s="109"/>
      <c r="DG27" s="71"/>
      <c r="DH27" s="71"/>
      <c r="DI27" s="84"/>
      <c r="DJ27" s="84"/>
      <c r="DK27" s="76"/>
      <c r="DL27" s="75"/>
      <c r="DM27" s="120"/>
      <c r="DN27" s="71"/>
      <c r="DO27" s="71"/>
      <c r="DP27" s="84"/>
      <c r="DQ27" s="75"/>
      <c r="DR27" s="75"/>
      <c r="DS27" s="75"/>
      <c r="DT27" s="75"/>
      <c r="DU27" s="71"/>
      <c r="DV27" s="97"/>
      <c r="DW27" s="84"/>
      <c r="DX27" s="84"/>
      <c r="DY27" s="76"/>
      <c r="DZ27" s="75"/>
      <c r="EA27" s="76"/>
      <c r="EB27" s="71"/>
      <c r="EC27" s="71"/>
      <c r="ED27" s="84"/>
      <c r="EE27" s="88"/>
      <c r="EF27" s="88"/>
      <c r="EG27" s="88"/>
      <c r="EH27" s="88"/>
      <c r="EI27" s="71"/>
      <c r="EJ27" s="71"/>
      <c r="EK27" s="84"/>
      <c r="EL27" s="84"/>
      <c r="EM27" s="80"/>
      <c r="EN27" s="80"/>
      <c r="EO27" s="76"/>
      <c r="EP27" s="71"/>
      <c r="EQ27" s="71"/>
      <c r="ER27" s="84"/>
      <c r="ES27" s="75"/>
      <c r="ET27" s="75"/>
      <c r="EU27" s="75"/>
      <c r="EV27" s="75"/>
      <c r="EW27" s="71"/>
      <c r="EX27" s="71"/>
      <c r="EY27" s="84"/>
      <c r="EZ27" s="88"/>
      <c r="FA27" s="88"/>
      <c r="FB27" s="88"/>
      <c r="FC27" s="88"/>
      <c r="FD27" s="71"/>
      <c r="FE27" s="71"/>
      <c r="FF27" s="84"/>
      <c r="FG27" s="84"/>
      <c r="FH27" s="102"/>
      <c r="FI27" s="102"/>
      <c r="FJ27" s="102"/>
      <c r="FK27" s="71"/>
      <c r="FL27" s="71"/>
      <c r="FM27" s="84"/>
      <c r="FN27" s="84"/>
      <c r="FO27" s="75"/>
      <c r="FP27" s="92"/>
      <c r="FQ27" s="92"/>
      <c r="FR27" s="71"/>
      <c r="FS27" s="71"/>
      <c r="FT27" s="84"/>
      <c r="FU27" s="84"/>
      <c r="FV27" s="102"/>
      <c r="FW27" s="97"/>
      <c r="FX27" s="97"/>
      <c r="FY27" s="97"/>
      <c r="FZ27" s="71"/>
      <c r="GA27" s="84"/>
      <c r="GB27" s="84"/>
      <c r="GC27" s="102"/>
      <c r="GD27" s="201"/>
      <c r="GE27" s="198"/>
      <c r="GF27" s="202"/>
      <c r="GG27" s="9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</row>
    <row r="28" ht="27.75" customHeight="1">
      <c r="A28" s="1"/>
      <c r="B28" s="61" t="s">
        <v>67</v>
      </c>
      <c r="C28" s="119"/>
      <c r="D28" s="83" t="s">
        <v>57</v>
      </c>
      <c r="E28" s="76"/>
      <c r="F28" s="71"/>
      <c r="G28" s="73" t="s">
        <v>48</v>
      </c>
      <c r="H28" s="73" t="s">
        <v>48</v>
      </c>
      <c r="I28" s="73" t="s">
        <v>48</v>
      </c>
      <c r="J28" s="73" t="s">
        <v>48</v>
      </c>
      <c r="K28" s="73" t="s">
        <v>48</v>
      </c>
      <c r="L28" s="81" t="s">
        <v>54</v>
      </c>
      <c r="M28" s="71"/>
      <c r="N28" s="71"/>
      <c r="O28" s="114"/>
      <c r="P28" s="76"/>
      <c r="Q28" s="75"/>
      <c r="R28" s="120"/>
      <c r="S28" s="76"/>
      <c r="T28" s="71"/>
      <c r="U28" s="71"/>
      <c r="V28" s="89" t="s">
        <v>58</v>
      </c>
      <c r="W28" s="89" t="s">
        <v>58</v>
      </c>
      <c r="X28" s="89" t="s">
        <v>58</v>
      </c>
      <c r="Y28" s="89" t="s">
        <v>58</v>
      </c>
      <c r="Z28" s="89" t="s">
        <v>58</v>
      </c>
      <c r="AA28" s="71"/>
      <c r="AB28" s="71"/>
      <c r="AC28" s="89" t="s">
        <v>58</v>
      </c>
      <c r="AD28" s="89" t="s">
        <v>58</v>
      </c>
      <c r="AE28" s="75"/>
      <c r="AF28" s="75"/>
      <c r="AG28" s="75"/>
      <c r="AH28" s="71"/>
      <c r="AI28" s="71"/>
      <c r="AJ28" s="84"/>
      <c r="AK28" s="76"/>
      <c r="AL28" s="75"/>
      <c r="AM28" s="76"/>
      <c r="AN28" s="89" t="s">
        <v>58</v>
      </c>
      <c r="AO28" s="71"/>
      <c r="AP28" s="71"/>
      <c r="AQ28" s="89" t="s">
        <v>58</v>
      </c>
      <c r="AR28" s="75"/>
      <c r="AS28" s="75"/>
      <c r="AT28" s="75"/>
      <c r="AU28" s="75"/>
      <c r="AV28" s="71"/>
      <c r="AW28" s="71"/>
      <c r="AX28" s="114"/>
      <c r="AY28" s="75"/>
      <c r="AZ28" s="75"/>
      <c r="BA28" s="75"/>
      <c r="BB28" s="75"/>
      <c r="BC28" s="71"/>
      <c r="BD28" s="71"/>
      <c r="BE28" s="84"/>
      <c r="BF28" s="75"/>
      <c r="BG28" s="75"/>
      <c r="BH28" s="75"/>
      <c r="BI28" s="75"/>
      <c r="BJ28" s="71"/>
      <c r="BK28" s="73" t="s">
        <v>48</v>
      </c>
      <c r="BL28" s="73" t="s">
        <v>48</v>
      </c>
      <c r="BM28" s="73" t="s">
        <v>48</v>
      </c>
      <c r="BN28" s="73" t="s">
        <v>48</v>
      </c>
      <c r="BO28" s="73" t="s">
        <v>48</v>
      </c>
      <c r="BP28" s="81" t="s">
        <v>54</v>
      </c>
      <c r="BQ28" s="71"/>
      <c r="BR28" s="71"/>
      <c r="BS28" s="84"/>
      <c r="BT28" s="102"/>
      <c r="BU28" s="75"/>
      <c r="BV28" s="76"/>
      <c r="BW28" s="76"/>
      <c r="BX28" s="71"/>
      <c r="BY28" s="71"/>
      <c r="BZ28" s="88"/>
      <c r="CA28" s="88"/>
      <c r="CB28" s="88"/>
      <c r="CC28" s="88"/>
      <c r="CD28" s="88"/>
      <c r="CE28" s="71"/>
      <c r="CF28" s="71"/>
      <c r="CG28" s="89" t="s">
        <v>58</v>
      </c>
      <c r="CH28" s="89" t="s">
        <v>58</v>
      </c>
      <c r="CI28" s="89" t="s">
        <v>58</v>
      </c>
      <c r="CJ28" s="89" t="s">
        <v>58</v>
      </c>
      <c r="CK28" s="89" t="s">
        <v>58</v>
      </c>
      <c r="CL28" s="71"/>
      <c r="CM28" s="71"/>
      <c r="CN28" s="89" t="s">
        <v>58</v>
      </c>
      <c r="CO28" s="89" t="s">
        <v>58</v>
      </c>
      <c r="CP28" s="89" t="s">
        <v>58</v>
      </c>
      <c r="CQ28" s="89" t="s">
        <v>58</v>
      </c>
      <c r="CR28" s="89" t="s">
        <v>58</v>
      </c>
      <c r="CS28" s="97"/>
      <c r="CT28" s="73" t="s">
        <v>48</v>
      </c>
      <c r="CU28" s="73" t="s">
        <v>48</v>
      </c>
      <c r="CV28" s="73" t="s">
        <v>48</v>
      </c>
      <c r="CW28" s="73" t="s">
        <v>48</v>
      </c>
      <c r="CX28" s="73" t="s">
        <v>48</v>
      </c>
      <c r="CY28" s="81" t="s">
        <v>54</v>
      </c>
      <c r="CZ28" s="71"/>
      <c r="DA28" s="71"/>
      <c r="DB28" s="109"/>
      <c r="DC28" s="109"/>
      <c r="DD28" s="109"/>
      <c r="DE28" s="109"/>
      <c r="DF28" s="109"/>
      <c r="DG28" s="71"/>
      <c r="DH28" s="71"/>
      <c r="DI28" s="84"/>
      <c r="DJ28" s="102"/>
      <c r="DK28" s="102"/>
      <c r="DL28" s="89" t="s">
        <v>58</v>
      </c>
      <c r="DM28" s="89" t="s">
        <v>58</v>
      </c>
      <c r="DN28" s="71"/>
      <c r="DO28" s="71"/>
      <c r="DP28" s="84"/>
      <c r="DQ28" s="75"/>
      <c r="DR28" s="75"/>
      <c r="DS28" s="75"/>
      <c r="DT28" s="75"/>
      <c r="DU28" s="71"/>
      <c r="DV28" s="97"/>
      <c r="DW28" s="84"/>
      <c r="DX28" s="76"/>
      <c r="DY28" s="75"/>
      <c r="DZ28" s="76"/>
      <c r="EA28" s="76"/>
      <c r="EB28" s="71"/>
      <c r="EC28" s="71"/>
      <c r="ED28" s="89" t="s">
        <v>58</v>
      </c>
      <c r="EE28" s="88"/>
      <c r="EF28" s="88"/>
      <c r="EG28" s="88"/>
      <c r="EH28" s="88"/>
      <c r="EI28" s="71"/>
      <c r="EJ28" s="73" t="s">
        <v>48</v>
      </c>
      <c r="EK28" s="73" t="s">
        <v>48</v>
      </c>
      <c r="EL28" s="73" t="s">
        <v>48</v>
      </c>
      <c r="EM28" s="73" t="s">
        <v>48</v>
      </c>
      <c r="EN28" s="73" t="s">
        <v>48</v>
      </c>
      <c r="EO28" s="81" t="s">
        <v>54</v>
      </c>
      <c r="EP28" s="71"/>
      <c r="EQ28" s="71"/>
      <c r="ER28" s="88"/>
      <c r="ES28" s="88"/>
      <c r="ET28" s="88"/>
      <c r="EU28" s="88"/>
      <c r="EV28" s="88"/>
      <c r="EW28" s="71"/>
      <c r="EX28" s="71"/>
      <c r="EY28" s="89" t="s">
        <v>58</v>
      </c>
      <c r="EZ28" s="89" t="s">
        <v>58</v>
      </c>
      <c r="FA28" s="75"/>
      <c r="FB28" s="75"/>
      <c r="FC28" s="75"/>
      <c r="FD28" s="71"/>
      <c r="FE28" s="71"/>
      <c r="FF28" s="84"/>
      <c r="FG28" s="76"/>
      <c r="FH28" s="92"/>
      <c r="FI28" s="92"/>
      <c r="FJ28" s="92"/>
      <c r="FK28" s="71"/>
      <c r="FL28" s="71"/>
      <c r="FM28" s="84"/>
      <c r="FN28" s="102"/>
      <c r="FO28" s="102"/>
      <c r="FP28" s="121"/>
      <c r="FQ28" s="102"/>
      <c r="FR28" s="71"/>
      <c r="FS28" s="71"/>
      <c r="FT28" s="84"/>
      <c r="FU28" s="102"/>
      <c r="FV28" s="102"/>
      <c r="FW28" s="97"/>
      <c r="FX28" s="97"/>
      <c r="FY28" s="97"/>
      <c r="FZ28" s="71"/>
      <c r="GA28" s="84"/>
      <c r="GB28" s="102"/>
      <c r="GC28" s="102"/>
      <c r="GD28" s="201"/>
      <c r="GE28" s="198"/>
      <c r="GF28" s="199"/>
      <c r="GG28" s="200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</row>
    <row r="29" ht="27.75" customHeight="1">
      <c r="A29" s="1"/>
      <c r="B29" s="95" t="s">
        <v>69</v>
      </c>
      <c r="C29" s="75"/>
      <c r="D29" s="75"/>
      <c r="E29" s="75"/>
      <c r="F29" s="71"/>
      <c r="G29" s="71"/>
      <c r="H29" s="88"/>
      <c r="I29" s="88"/>
      <c r="J29" s="88"/>
      <c r="K29" s="88"/>
      <c r="L29" s="88"/>
      <c r="M29" s="71"/>
      <c r="N29" s="71"/>
      <c r="O29" s="114"/>
      <c r="P29" s="102"/>
      <c r="Q29" s="102"/>
      <c r="R29" s="102"/>
      <c r="S29" s="102"/>
      <c r="T29" s="71"/>
      <c r="U29" s="71"/>
      <c r="V29" s="89" t="s">
        <v>58</v>
      </c>
      <c r="W29" s="89" t="s">
        <v>58</v>
      </c>
      <c r="X29" s="89" t="s">
        <v>58</v>
      </c>
      <c r="Y29" s="89" t="s">
        <v>58</v>
      </c>
      <c r="Z29" s="89" t="s">
        <v>58</v>
      </c>
      <c r="AA29" s="71"/>
      <c r="AB29" s="73" t="s">
        <v>48</v>
      </c>
      <c r="AC29" s="73" t="s">
        <v>48</v>
      </c>
      <c r="AD29" s="73" t="s">
        <v>48</v>
      </c>
      <c r="AE29" s="73" t="s">
        <v>48</v>
      </c>
      <c r="AF29" s="73" t="s">
        <v>48</v>
      </c>
      <c r="AG29" s="81" t="s">
        <v>54</v>
      </c>
      <c r="AH29" s="71"/>
      <c r="AI29" s="71"/>
      <c r="AJ29" s="88"/>
      <c r="AK29" s="88"/>
      <c r="AL29" s="88"/>
      <c r="AM29" s="88"/>
      <c r="AN29" s="88"/>
      <c r="AO29" s="71"/>
      <c r="AP29" s="71"/>
      <c r="AQ29" s="114"/>
      <c r="AR29" s="90"/>
      <c r="AS29" s="102"/>
      <c r="AT29" s="102"/>
      <c r="AU29" s="102"/>
      <c r="AV29" s="71"/>
      <c r="AW29" s="71"/>
      <c r="AX29" s="84"/>
      <c r="AY29" s="102"/>
      <c r="AZ29" s="102"/>
      <c r="BA29" s="90"/>
      <c r="BB29" s="75"/>
      <c r="BC29" s="71"/>
      <c r="BD29" s="71"/>
      <c r="BE29" s="114"/>
      <c r="BF29" s="76"/>
      <c r="BG29" s="92"/>
      <c r="BH29" s="76"/>
      <c r="BI29" s="76"/>
      <c r="BJ29" s="71"/>
      <c r="BK29" s="71"/>
      <c r="BL29" s="88"/>
      <c r="BM29" s="88"/>
      <c r="BN29" s="88"/>
      <c r="BO29" s="88"/>
      <c r="BP29" s="88"/>
      <c r="BQ29" s="71"/>
      <c r="BR29" s="73" t="s">
        <v>48</v>
      </c>
      <c r="BS29" s="73" t="s">
        <v>48</v>
      </c>
      <c r="BT29" s="73" t="s">
        <v>48</v>
      </c>
      <c r="BU29" s="73" t="s">
        <v>48</v>
      </c>
      <c r="BV29" s="73" t="s">
        <v>48</v>
      </c>
      <c r="BW29" s="81" t="s">
        <v>54</v>
      </c>
      <c r="BX29" s="71"/>
      <c r="BY29" s="71"/>
      <c r="BZ29" s="114"/>
      <c r="CA29" s="76"/>
      <c r="CB29" s="119"/>
      <c r="CC29" s="119"/>
      <c r="CD29" s="102"/>
      <c r="CE29" s="71"/>
      <c r="CF29" s="71"/>
      <c r="CG29" s="89" t="s">
        <v>58</v>
      </c>
      <c r="CH29" s="89" t="s">
        <v>58</v>
      </c>
      <c r="CI29" s="89" t="s">
        <v>58</v>
      </c>
      <c r="CJ29" s="89" t="s">
        <v>58</v>
      </c>
      <c r="CK29" s="89" t="s">
        <v>58</v>
      </c>
      <c r="CL29" s="71"/>
      <c r="CM29" s="71"/>
      <c r="CN29" s="88"/>
      <c r="CO29" s="88"/>
      <c r="CP29" s="88"/>
      <c r="CQ29" s="88"/>
      <c r="CR29" s="111"/>
      <c r="CS29" s="97"/>
      <c r="CT29" s="71"/>
      <c r="CU29" s="114"/>
      <c r="CV29" s="75"/>
      <c r="CW29" s="75"/>
      <c r="CX29" s="75"/>
      <c r="CY29" s="75"/>
      <c r="CZ29" s="71"/>
      <c r="DA29" s="71"/>
      <c r="DB29" s="109"/>
      <c r="DC29" s="109"/>
      <c r="DD29" s="109"/>
      <c r="DE29" s="109"/>
      <c r="DF29" s="109"/>
      <c r="DG29" s="71"/>
      <c r="DH29" s="73" t="s">
        <v>48</v>
      </c>
      <c r="DI29" s="73" t="s">
        <v>48</v>
      </c>
      <c r="DJ29" s="73" t="s">
        <v>48</v>
      </c>
      <c r="DK29" s="73" t="s">
        <v>48</v>
      </c>
      <c r="DL29" s="73" t="s">
        <v>48</v>
      </c>
      <c r="DM29" s="81" t="s">
        <v>54</v>
      </c>
      <c r="DN29" s="71"/>
      <c r="DO29" s="71"/>
      <c r="DP29" s="114"/>
      <c r="DQ29" s="92"/>
      <c r="DR29" s="92"/>
      <c r="DS29" s="92"/>
      <c r="DT29" s="76"/>
      <c r="DU29" s="71"/>
      <c r="DV29" s="97"/>
      <c r="DW29" s="84"/>
      <c r="DX29" s="92"/>
      <c r="DY29" s="92"/>
      <c r="DZ29" s="92"/>
      <c r="EA29" s="92"/>
      <c r="EB29" s="71"/>
      <c r="EC29" s="71"/>
      <c r="ED29" s="114"/>
      <c r="EE29" s="76"/>
      <c r="EF29" s="76"/>
      <c r="EG29" s="76"/>
      <c r="EH29" s="76"/>
      <c r="EI29" s="71"/>
      <c r="EJ29" s="71"/>
      <c r="EK29" s="89" t="s">
        <v>58</v>
      </c>
      <c r="EL29" s="89" t="s">
        <v>58</v>
      </c>
      <c r="EM29" s="89" t="s">
        <v>58</v>
      </c>
      <c r="EN29" s="89" t="s">
        <v>58</v>
      </c>
      <c r="EO29" s="89" t="s">
        <v>58</v>
      </c>
      <c r="EP29" s="71"/>
      <c r="EQ29" s="71"/>
      <c r="ER29" s="114"/>
      <c r="ES29" s="119"/>
      <c r="ET29" s="119"/>
      <c r="EU29" s="120"/>
      <c r="EV29" s="76"/>
      <c r="EW29" s="71"/>
      <c r="EX29" s="73" t="s">
        <v>48</v>
      </c>
      <c r="EY29" s="73" t="s">
        <v>48</v>
      </c>
      <c r="EZ29" s="73" t="s">
        <v>48</v>
      </c>
      <c r="FA29" s="73" t="s">
        <v>48</v>
      </c>
      <c r="FB29" s="73" t="s">
        <v>48</v>
      </c>
      <c r="FC29" s="81" t="s">
        <v>54</v>
      </c>
      <c r="FD29" s="71"/>
      <c r="FE29" s="71"/>
      <c r="FF29" s="114"/>
      <c r="FG29" s="102"/>
      <c r="FH29" s="90"/>
      <c r="FI29" s="90"/>
      <c r="FJ29" s="102"/>
      <c r="FK29" s="71"/>
      <c r="FL29" s="71"/>
      <c r="FM29" s="88"/>
      <c r="FN29" s="88"/>
      <c r="FO29" s="88"/>
      <c r="FP29" s="121"/>
      <c r="FQ29" s="88"/>
      <c r="FR29" s="71"/>
      <c r="FS29" s="71"/>
      <c r="FT29" s="89" t="s">
        <v>58</v>
      </c>
      <c r="FU29" s="89" t="s">
        <v>58</v>
      </c>
      <c r="FV29" s="89" t="s">
        <v>58</v>
      </c>
      <c r="FW29" s="97"/>
      <c r="FX29" s="97"/>
      <c r="FY29" s="97"/>
      <c r="FZ29" s="203"/>
      <c r="GA29" s="89" t="s">
        <v>58</v>
      </c>
      <c r="GB29" s="89" t="s">
        <v>58</v>
      </c>
      <c r="GC29" s="89" t="s">
        <v>58</v>
      </c>
      <c r="GD29" s="201"/>
      <c r="GE29" s="198"/>
      <c r="GF29" s="199"/>
      <c r="GG29" s="200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</row>
    <row r="30" ht="27.75" customHeight="1">
      <c r="A30" s="1"/>
      <c r="B30" s="95" t="s">
        <v>72</v>
      </c>
      <c r="C30" s="76"/>
      <c r="D30" s="111"/>
      <c r="E30" s="76"/>
      <c r="F30" s="71"/>
      <c r="G30" s="71"/>
      <c r="H30" s="114"/>
      <c r="I30" s="76"/>
      <c r="J30" s="80"/>
      <c r="K30" s="80"/>
      <c r="L30" s="76"/>
      <c r="M30" s="71"/>
      <c r="N30" s="71"/>
      <c r="O30" s="89" t="s">
        <v>58</v>
      </c>
      <c r="P30" s="89" t="s">
        <v>58</v>
      </c>
      <c r="Q30" s="89" t="s">
        <v>58</v>
      </c>
      <c r="R30" s="89" t="s">
        <v>58</v>
      </c>
      <c r="S30" s="89" t="s">
        <v>58</v>
      </c>
      <c r="T30" s="71"/>
      <c r="U30" s="71"/>
      <c r="V30" s="114"/>
      <c r="W30" s="75"/>
      <c r="X30" s="75"/>
      <c r="Y30" s="75"/>
      <c r="Z30" s="75"/>
      <c r="AA30" s="71"/>
      <c r="AB30" s="71"/>
      <c r="AC30" s="114"/>
      <c r="AD30" s="102"/>
      <c r="AE30" s="102"/>
      <c r="AF30" s="102"/>
      <c r="AG30" s="90"/>
      <c r="AH30" s="71"/>
      <c r="AI30" s="73" t="s">
        <v>48</v>
      </c>
      <c r="AJ30" s="73" t="s">
        <v>48</v>
      </c>
      <c r="AK30" s="73" t="s">
        <v>48</v>
      </c>
      <c r="AL30" s="73" t="s">
        <v>48</v>
      </c>
      <c r="AM30" s="73" t="s">
        <v>48</v>
      </c>
      <c r="AN30" s="81" t="s">
        <v>54</v>
      </c>
      <c r="AO30" s="71"/>
      <c r="AP30" s="71"/>
      <c r="AQ30" s="114"/>
      <c r="AR30" s="76"/>
      <c r="AS30" s="75"/>
      <c r="AT30" s="76"/>
      <c r="AU30" s="76"/>
      <c r="AV30" s="71"/>
      <c r="AW30" s="71"/>
      <c r="AX30" s="114"/>
      <c r="AY30" s="76"/>
      <c r="AZ30" s="75"/>
      <c r="BA30" s="76"/>
      <c r="BB30" s="76"/>
      <c r="BC30" s="71"/>
      <c r="BD30" s="71"/>
      <c r="BE30" s="88"/>
      <c r="BF30" s="88"/>
      <c r="BG30" s="88"/>
      <c r="BH30" s="88"/>
      <c r="BI30" s="88"/>
      <c r="BJ30" s="71"/>
      <c r="BK30" s="71"/>
      <c r="BL30" s="114"/>
      <c r="BM30" s="75"/>
      <c r="BN30" s="75"/>
      <c r="BO30" s="75"/>
      <c r="BP30" s="75"/>
      <c r="BQ30" s="71"/>
      <c r="BR30" s="71"/>
      <c r="BS30" s="89" t="s">
        <v>58</v>
      </c>
      <c r="BT30" s="89" t="s">
        <v>58</v>
      </c>
      <c r="BU30" s="89" t="s">
        <v>58</v>
      </c>
      <c r="BV30" s="89" t="s">
        <v>58</v>
      </c>
      <c r="BW30" s="89" t="s">
        <v>58</v>
      </c>
      <c r="BX30" s="71"/>
      <c r="BY30" s="71"/>
      <c r="BZ30" s="89" t="s">
        <v>58</v>
      </c>
      <c r="CA30" s="89" t="s">
        <v>58</v>
      </c>
      <c r="CB30" s="89" t="s">
        <v>58</v>
      </c>
      <c r="CC30" s="89" t="s">
        <v>58</v>
      </c>
      <c r="CD30" s="89" t="s">
        <v>58</v>
      </c>
      <c r="CE30" s="71"/>
      <c r="CF30" s="71"/>
      <c r="CG30" s="114"/>
      <c r="CH30" s="76"/>
      <c r="CI30" s="75"/>
      <c r="CJ30" s="76"/>
      <c r="CK30" s="76"/>
      <c r="CL30" s="71"/>
      <c r="CM30" s="71"/>
      <c r="CN30" s="114"/>
      <c r="CO30" s="83" t="s">
        <v>57</v>
      </c>
      <c r="CP30" s="83" t="s">
        <v>57</v>
      </c>
      <c r="CQ30" s="83" t="s">
        <v>57</v>
      </c>
      <c r="CR30" s="76"/>
      <c r="CS30" s="97"/>
      <c r="CT30" s="71"/>
      <c r="CU30" s="114"/>
      <c r="CV30" s="76"/>
      <c r="CW30" s="76"/>
      <c r="CX30" s="76"/>
      <c r="CY30" s="76"/>
      <c r="CZ30" s="71"/>
      <c r="DA30" s="71"/>
      <c r="DB30" s="109"/>
      <c r="DC30" s="109"/>
      <c r="DD30" s="109"/>
      <c r="DE30" s="109"/>
      <c r="DF30" s="109"/>
      <c r="DG30" s="71"/>
      <c r="DH30" s="71"/>
      <c r="DI30" s="114"/>
      <c r="DJ30" s="75"/>
      <c r="DK30" s="75"/>
      <c r="DL30" s="75"/>
      <c r="DM30" s="75"/>
      <c r="DN30" s="71"/>
      <c r="DO30" s="73" t="s">
        <v>48</v>
      </c>
      <c r="DP30" s="73" t="s">
        <v>48</v>
      </c>
      <c r="DQ30" s="73" t="s">
        <v>48</v>
      </c>
      <c r="DR30" s="73" t="s">
        <v>48</v>
      </c>
      <c r="DS30" s="73" t="s">
        <v>48</v>
      </c>
      <c r="DT30" s="81" t="s">
        <v>54</v>
      </c>
      <c r="DU30" s="71"/>
      <c r="DV30" s="97"/>
      <c r="DW30" s="84"/>
      <c r="DX30" s="92"/>
      <c r="DY30" s="92"/>
      <c r="DZ30" s="92"/>
      <c r="EA30" s="92"/>
      <c r="EB30" s="71"/>
      <c r="EC30" s="71"/>
      <c r="ED30" s="114"/>
      <c r="EE30" s="102"/>
      <c r="EF30" s="102"/>
      <c r="EG30" s="102"/>
      <c r="EH30" s="102"/>
      <c r="EI30" s="71"/>
      <c r="EJ30" s="71"/>
      <c r="EK30" s="117"/>
      <c r="EL30" s="92"/>
      <c r="EM30" s="92"/>
      <c r="EN30" s="120"/>
      <c r="EO30" s="75"/>
      <c r="EP30" s="71"/>
      <c r="EQ30" s="71"/>
      <c r="ER30" s="114"/>
      <c r="ES30" s="75"/>
      <c r="ET30" s="75"/>
      <c r="EU30" s="75"/>
      <c r="EV30" s="75"/>
      <c r="EW30" s="71"/>
      <c r="EX30" s="71"/>
      <c r="EY30" s="114"/>
      <c r="EZ30" s="76"/>
      <c r="FA30" s="76"/>
      <c r="FB30" s="120"/>
      <c r="FC30" s="76"/>
      <c r="FD30" s="71"/>
      <c r="FE30" s="71"/>
      <c r="FF30" s="117"/>
      <c r="FG30" s="76"/>
      <c r="FH30" s="75"/>
      <c r="FI30" s="76"/>
      <c r="FJ30" s="76"/>
      <c r="FK30" s="71"/>
      <c r="FL30" s="73" t="s">
        <v>48</v>
      </c>
      <c r="FM30" s="73" t="s">
        <v>48</v>
      </c>
      <c r="FN30" s="73" t="s">
        <v>48</v>
      </c>
      <c r="FO30" s="73" t="s">
        <v>48</v>
      </c>
      <c r="FP30" s="73" t="s">
        <v>48</v>
      </c>
      <c r="FQ30" s="81" t="s">
        <v>54</v>
      </c>
      <c r="FR30" s="71"/>
      <c r="FS30" s="71"/>
      <c r="FT30" s="114"/>
      <c r="FU30" s="102"/>
      <c r="FV30" s="102"/>
      <c r="FW30" s="97"/>
      <c r="FX30" s="97"/>
      <c r="FY30" s="97"/>
      <c r="FZ30" s="203"/>
      <c r="GA30" s="114"/>
      <c r="GB30" s="102"/>
      <c r="GC30" s="102"/>
      <c r="GD30" s="201"/>
      <c r="GE30" s="198"/>
      <c r="GF30" s="199"/>
      <c r="GG30" s="9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</row>
    <row r="31" ht="27.75" customHeight="1">
      <c r="A31" s="1"/>
      <c r="B31" s="61" t="s">
        <v>74</v>
      </c>
      <c r="C31" s="76"/>
      <c r="D31" s="76"/>
      <c r="E31" s="76"/>
      <c r="F31" s="71"/>
      <c r="G31" s="71"/>
      <c r="H31" s="114"/>
      <c r="I31" s="76"/>
      <c r="J31" s="76"/>
      <c r="K31" s="76"/>
      <c r="L31" s="76"/>
      <c r="M31" s="71"/>
      <c r="N31" s="71"/>
      <c r="O31" s="114"/>
      <c r="P31" s="76"/>
      <c r="Q31" s="76"/>
      <c r="R31" s="76"/>
      <c r="S31" s="76"/>
      <c r="T31" s="71"/>
      <c r="U31" s="73" t="s">
        <v>48</v>
      </c>
      <c r="V31" s="73" t="s">
        <v>48</v>
      </c>
      <c r="W31" s="73" t="s">
        <v>48</v>
      </c>
      <c r="X31" s="73" t="s">
        <v>48</v>
      </c>
      <c r="Y31" s="73" t="s">
        <v>48</v>
      </c>
      <c r="Z31" s="81" t="s">
        <v>54</v>
      </c>
      <c r="AA31" s="71"/>
      <c r="AB31" s="71"/>
      <c r="AC31" s="89" t="s">
        <v>58</v>
      </c>
      <c r="AD31" s="89" t="s">
        <v>58</v>
      </c>
      <c r="AE31" s="89" t="s">
        <v>58</v>
      </c>
      <c r="AF31" s="89" t="s">
        <v>58</v>
      </c>
      <c r="AG31" s="89" t="s">
        <v>58</v>
      </c>
      <c r="AH31" s="71"/>
      <c r="AI31" s="71"/>
      <c r="AJ31" s="89" t="s">
        <v>58</v>
      </c>
      <c r="AK31" s="89" t="s">
        <v>58</v>
      </c>
      <c r="AL31" s="89" t="s">
        <v>58</v>
      </c>
      <c r="AM31" s="89" t="s">
        <v>58</v>
      </c>
      <c r="AN31" s="89" t="s">
        <v>58</v>
      </c>
      <c r="AO31" s="71"/>
      <c r="AP31" s="71"/>
      <c r="AQ31" s="114"/>
      <c r="AR31" s="76"/>
      <c r="AS31" s="76"/>
      <c r="AT31" s="76"/>
      <c r="AU31" s="76"/>
      <c r="AV31" s="71"/>
      <c r="AW31" s="73" t="s">
        <v>48</v>
      </c>
      <c r="AX31" s="73" t="s">
        <v>48</v>
      </c>
      <c r="AY31" s="73" t="s">
        <v>48</v>
      </c>
      <c r="AZ31" s="73" t="s">
        <v>48</v>
      </c>
      <c r="BA31" s="73" t="s">
        <v>48</v>
      </c>
      <c r="BB31" s="81" t="s">
        <v>54</v>
      </c>
      <c r="BC31" s="71"/>
      <c r="BD31" s="71"/>
      <c r="BE31" s="114"/>
      <c r="BF31" s="76"/>
      <c r="BG31" s="76"/>
      <c r="BH31" s="76"/>
      <c r="BI31" s="76"/>
      <c r="BJ31" s="71"/>
      <c r="BK31" s="71"/>
      <c r="BL31" s="114"/>
      <c r="BM31" s="75"/>
      <c r="BN31" s="75"/>
      <c r="BO31" s="75"/>
      <c r="BP31" s="75"/>
      <c r="BQ31" s="71"/>
      <c r="BR31" s="71"/>
      <c r="BS31" s="114"/>
      <c r="BT31" s="76"/>
      <c r="BU31" s="76"/>
      <c r="BV31" s="76"/>
      <c r="BW31" s="76"/>
      <c r="BX31" s="71"/>
      <c r="BY31" s="73" t="s">
        <v>48</v>
      </c>
      <c r="BZ31" s="73" t="s">
        <v>48</v>
      </c>
      <c r="CA31" s="73" t="s">
        <v>48</v>
      </c>
      <c r="CB31" s="73" t="s">
        <v>48</v>
      </c>
      <c r="CC31" s="73" t="s">
        <v>48</v>
      </c>
      <c r="CD31" s="81" t="s">
        <v>54</v>
      </c>
      <c r="CE31" s="71"/>
      <c r="CF31" s="71"/>
      <c r="CG31" s="114"/>
      <c r="CH31" s="76"/>
      <c r="CI31" s="76"/>
      <c r="CJ31" s="76"/>
      <c r="CK31" s="76"/>
      <c r="CL31" s="71"/>
      <c r="CM31" s="71"/>
      <c r="CN31" s="114"/>
      <c r="CO31" s="83" t="s">
        <v>57</v>
      </c>
      <c r="CP31" s="83" t="s">
        <v>57</v>
      </c>
      <c r="CQ31" s="83" t="s">
        <v>57</v>
      </c>
      <c r="CR31" s="76"/>
      <c r="CS31" s="97"/>
      <c r="CT31" s="71"/>
      <c r="CU31" s="114"/>
      <c r="CV31" s="76"/>
      <c r="CW31" s="76"/>
      <c r="CX31" s="76"/>
      <c r="CY31" s="76"/>
      <c r="CZ31" s="71"/>
      <c r="DA31" s="73" t="s">
        <v>48</v>
      </c>
      <c r="DB31" s="73" t="s">
        <v>48</v>
      </c>
      <c r="DC31" s="73" t="s">
        <v>48</v>
      </c>
      <c r="DD31" s="73" t="s">
        <v>48</v>
      </c>
      <c r="DE31" s="73" t="s">
        <v>48</v>
      </c>
      <c r="DF31" s="81" t="s">
        <v>54</v>
      </c>
      <c r="DG31" s="71"/>
      <c r="DH31" s="71"/>
      <c r="DI31" s="114"/>
      <c r="DJ31" s="76"/>
      <c r="DK31" s="76"/>
      <c r="DL31" s="76"/>
      <c r="DM31" s="76"/>
      <c r="DN31" s="71"/>
      <c r="DO31" s="71"/>
      <c r="DP31" s="114"/>
      <c r="DQ31" s="76"/>
      <c r="DR31" s="76"/>
      <c r="DS31" s="76"/>
      <c r="DT31" s="76"/>
      <c r="DU31" s="71"/>
      <c r="DV31" s="97"/>
      <c r="DW31" s="84"/>
      <c r="DX31" s="204"/>
      <c r="DY31" s="76"/>
      <c r="DZ31" s="76"/>
      <c r="EA31" s="76"/>
      <c r="EB31" s="71"/>
      <c r="EC31" s="71"/>
      <c r="ED31" s="114"/>
      <c r="EE31" s="111"/>
      <c r="EF31" s="75"/>
      <c r="EG31" s="76"/>
      <c r="EH31" s="76"/>
      <c r="EI31" s="71"/>
      <c r="EJ31" s="71"/>
      <c r="EK31" s="117"/>
      <c r="EL31" s="76"/>
      <c r="EM31" s="75"/>
      <c r="EN31" s="75"/>
      <c r="EO31" s="75"/>
      <c r="EP31" s="71"/>
      <c r="EQ31" s="73" t="s">
        <v>48</v>
      </c>
      <c r="ER31" s="73" t="s">
        <v>48</v>
      </c>
      <c r="ES31" s="73" t="s">
        <v>48</v>
      </c>
      <c r="ET31" s="73" t="s">
        <v>48</v>
      </c>
      <c r="EU31" s="73" t="s">
        <v>48</v>
      </c>
      <c r="EV31" s="81" t="s">
        <v>54</v>
      </c>
      <c r="EW31" s="71"/>
      <c r="EX31" s="71"/>
      <c r="EY31" s="114"/>
      <c r="EZ31" s="119"/>
      <c r="FA31" s="75"/>
      <c r="FB31" s="76"/>
      <c r="FC31" s="76"/>
      <c r="FD31" s="71"/>
      <c r="FE31" s="71"/>
      <c r="FF31" s="117"/>
      <c r="FG31" s="76"/>
      <c r="FH31" s="75"/>
      <c r="FI31" s="76"/>
      <c r="FJ31" s="76"/>
      <c r="FK31" s="71"/>
      <c r="FL31" s="71"/>
      <c r="FM31" s="117"/>
      <c r="FN31" s="76"/>
      <c r="FO31" s="75"/>
      <c r="FP31" s="76"/>
      <c r="FQ31" s="75"/>
      <c r="FR31" s="71"/>
      <c r="FS31" s="71"/>
      <c r="FT31" s="114"/>
      <c r="FU31" s="102"/>
      <c r="FV31" s="102"/>
      <c r="FW31" s="97"/>
      <c r="FX31" s="97"/>
      <c r="FY31" s="97"/>
      <c r="FZ31" s="203"/>
      <c r="GA31" s="114"/>
      <c r="GB31" s="102"/>
      <c r="GC31" s="102"/>
      <c r="GD31" s="201"/>
      <c r="GE31" s="198"/>
      <c r="GF31" s="199"/>
      <c r="GG31" s="9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</row>
    <row r="32" ht="27.75" customHeight="1">
      <c r="A32" s="1"/>
      <c r="B32" s="61" t="s">
        <v>77</v>
      </c>
      <c r="C32" s="119"/>
      <c r="D32" s="88"/>
      <c r="E32" s="88"/>
      <c r="F32" s="71"/>
      <c r="G32" s="71"/>
      <c r="H32" s="117"/>
      <c r="I32" s="88"/>
      <c r="J32" s="88"/>
      <c r="K32" s="88"/>
      <c r="L32" s="88"/>
      <c r="M32" s="71"/>
      <c r="N32" s="71"/>
      <c r="O32" s="117"/>
      <c r="P32" s="88"/>
      <c r="Q32" s="88"/>
      <c r="R32" s="88"/>
      <c r="S32" s="88"/>
      <c r="T32" s="71"/>
      <c r="U32" s="71"/>
      <c r="V32" s="117"/>
      <c r="W32" s="88"/>
      <c r="X32" s="88"/>
      <c r="Y32" s="88"/>
      <c r="Z32" s="88"/>
      <c r="AA32" s="71"/>
      <c r="AB32" s="71"/>
      <c r="AC32" s="117"/>
      <c r="AD32" s="119"/>
      <c r="AE32" s="80"/>
      <c r="AF32" s="120"/>
      <c r="AG32" s="119"/>
      <c r="AH32" s="71"/>
      <c r="AI32" s="71"/>
      <c r="AJ32" s="89" t="s">
        <v>58</v>
      </c>
      <c r="AK32" s="89" t="s">
        <v>58</v>
      </c>
      <c r="AL32" s="89" t="s">
        <v>58</v>
      </c>
      <c r="AM32" s="89" t="s">
        <v>58</v>
      </c>
      <c r="AN32" s="89" t="s">
        <v>58</v>
      </c>
      <c r="AO32" s="71"/>
      <c r="AP32" s="71"/>
      <c r="AQ32" s="89" t="s">
        <v>58</v>
      </c>
      <c r="AR32" s="89" t="s">
        <v>58</v>
      </c>
      <c r="AS32" s="89" t="s">
        <v>58</v>
      </c>
      <c r="AT32" s="89" t="s">
        <v>58</v>
      </c>
      <c r="AU32" s="89" t="s">
        <v>58</v>
      </c>
      <c r="AV32" s="71"/>
      <c r="AW32" s="71"/>
      <c r="AX32" s="89" t="s">
        <v>58</v>
      </c>
      <c r="AY32" s="89" t="s">
        <v>58</v>
      </c>
      <c r="AZ32" s="89" t="s">
        <v>58</v>
      </c>
      <c r="BA32" s="89" t="s">
        <v>58</v>
      </c>
      <c r="BB32" s="89" t="s">
        <v>58</v>
      </c>
      <c r="BC32" s="71"/>
      <c r="BD32" s="71"/>
      <c r="BE32" s="117"/>
      <c r="BF32" s="76"/>
      <c r="BG32" s="119"/>
      <c r="BH32" s="119"/>
      <c r="BI32" s="76"/>
      <c r="BJ32" s="71"/>
      <c r="BK32" s="71"/>
      <c r="BL32" s="117"/>
      <c r="BM32" s="76"/>
      <c r="BN32" s="80"/>
      <c r="BO32" s="119"/>
      <c r="BP32" s="119"/>
      <c r="BQ32" s="71"/>
      <c r="BR32" s="71"/>
      <c r="BS32" s="117"/>
      <c r="BT32" s="76"/>
      <c r="BU32" s="119"/>
      <c r="BV32" s="119"/>
      <c r="BW32" s="76"/>
      <c r="BX32" s="71"/>
      <c r="BY32" s="71"/>
      <c r="BZ32" s="117"/>
      <c r="CA32" s="80"/>
      <c r="CB32" s="80"/>
      <c r="CC32" s="119"/>
      <c r="CD32" s="119"/>
      <c r="CE32" s="71"/>
      <c r="CF32" s="71"/>
      <c r="CG32" s="117"/>
      <c r="CH32" s="80"/>
      <c r="CI32" s="80"/>
      <c r="CJ32" s="119"/>
      <c r="CK32" s="119"/>
      <c r="CL32" s="71"/>
      <c r="CM32" s="71"/>
      <c r="CN32" s="117"/>
      <c r="CO32" s="119"/>
      <c r="CP32" s="80"/>
      <c r="CQ32" s="120"/>
      <c r="CR32" s="119"/>
      <c r="CS32" s="97"/>
      <c r="CT32" s="71"/>
      <c r="CU32" s="117"/>
      <c r="CV32" s="76"/>
      <c r="CW32" s="119"/>
      <c r="CX32" s="119"/>
      <c r="CY32" s="76"/>
      <c r="CZ32" s="71"/>
      <c r="DA32" s="71"/>
      <c r="DB32" s="109"/>
      <c r="DC32" s="109"/>
      <c r="DD32" s="109"/>
      <c r="DE32" s="109"/>
      <c r="DF32" s="109"/>
      <c r="DG32" s="71"/>
      <c r="DH32" s="71"/>
      <c r="DI32" s="117"/>
      <c r="DJ32" s="102"/>
      <c r="DK32" s="102"/>
      <c r="DL32" s="102"/>
      <c r="DM32" s="102"/>
      <c r="DN32" s="71"/>
      <c r="DO32" s="71"/>
      <c r="DP32" s="117"/>
      <c r="DQ32" s="102"/>
      <c r="DR32" s="92"/>
      <c r="DS32" s="76"/>
      <c r="DT32" s="76"/>
      <c r="DU32" s="71"/>
      <c r="DV32" s="97"/>
      <c r="DW32" s="84"/>
      <c r="DX32" s="76"/>
      <c r="DY32" s="80"/>
      <c r="DZ32" s="119"/>
      <c r="EA32" s="76"/>
      <c r="EB32" s="71"/>
      <c r="EC32" s="71"/>
      <c r="ED32" s="117"/>
      <c r="EE32" s="111"/>
      <c r="EF32" s="80"/>
      <c r="EG32" s="120"/>
      <c r="EH32" s="76"/>
      <c r="EI32" s="71"/>
      <c r="EJ32" s="71"/>
      <c r="EK32" s="117"/>
      <c r="EL32" s="80"/>
      <c r="EM32" s="80"/>
      <c r="EN32" s="120"/>
      <c r="EO32" s="119"/>
      <c r="EP32" s="71"/>
      <c r="EQ32" s="71"/>
      <c r="ER32" s="117"/>
      <c r="ES32" s="76"/>
      <c r="ET32" s="80"/>
      <c r="EU32" s="119"/>
      <c r="EV32" s="119"/>
      <c r="EW32" s="71"/>
      <c r="EX32" s="71"/>
      <c r="EY32" s="117"/>
      <c r="EZ32" s="80"/>
      <c r="FA32" s="80"/>
      <c r="FB32" s="119"/>
      <c r="FC32" s="119"/>
      <c r="FD32" s="71"/>
      <c r="FE32" s="71"/>
      <c r="FF32" s="117"/>
      <c r="FG32" s="76"/>
      <c r="FH32" s="80"/>
      <c r="FI32" s="119"/>
      <c r="FJ32" s="76"/>
      <c r="FK32" s="71"/>
      <c r="FL32" s="71"/>
      <c r="FM32" s="117"/>
      <c r="FN32" s="102"/>
      <c r="FO32" s="102"/>
      <c r="FP32" s="102"/>
      <c r="FQ32" s="76"/>
      <c r="FR32" s="71"/>
      <c r="FS32" s="71"/>
      <c r="FT32" s="205" t="s">
        <v>58</v>
      </c>
      <c r="FU32" s="205" t="s">
        <v>58</v>
      </c>
      <c r="FV32" s="205" t="s">
        <v>58</v>
      </c>
      <c r="FW32" s="97"/>
      <c r="FX32" s="97"/>
      <c r="FY32" s="97"/>
      <c r="FZ32" s="107"/>
      <c r="GA32" s="205" t="s">
        <v>58</v>
      </c>
      <c r="GB32" s="205" t="s">
        <v>58</v>
      </c>
      <c r="GC32" s="205" t="s">
        <v>58</v>
      </c>
      <c r="GD32" s="201"/>
      <c r="GE32" s="198"/>
      <c r="GF32" s="199"/>
      <c r="GG32" s="200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</row>
    <row r="33" ht="27.75" customHeight="1">
      <c r="A33" s="1"/>
      <c r="B33" s="122" t="s">
        <v>80</v>
      </c>
      <c r="C33" s="206"/>
      <c r="D33" s="127"/>
      <c r="E33" s="127"/>
      <c r="F33" s="125"/>
      <c r="G33" s="125"/>
      <c r="H33" s="133"/>
      <c r="I33" s="127"/>
      <c r="J33" s="129" t="s">
        <v>83</v>
      </c>
      <c r="K33" s="127"/>
      <c r="L33" s="127"/>
      <c r="M33" s="125"/>
      <c r="N33" s="125"/>
      <c r="O33" s="133"/>
      <c r="P33" s="127"/>
      <c r="Q33" s="127"/>
      <c r="R33" s="127"/>
      <c r="S33" s="127"/>
      <c r="T33" s="125"/>
      <c r="U33" s="125"/>
      <c r="V33" s="133"/>
      <c r="W33" s="127"/>
      <c r="X33" s="127"/>
      <c r="Y33" s="127"/>
      <c r="Z33" s="127"/>
      <c r="AA33" s="125"/>
      <c r="AB33" s="125"/>
      <c r="AC33" s="133"/>
      <c r="AD33" s="207"/>
      <c r="AE33" s="207"/>
      <c r="AF33" s="138"/>
      <c r="AG33" s="138"/>
      <c r="AH33" s="125"/>
      <c r="AI33" s="125"/>
      <c r="AJ33" s="133"/>
      <c r="AK33" s="127"/>
      <c r="AL33" s="207"/>
      <c r="AM33" s="208"/>
      <c r="AN33" s="208"/>
      <c r="AO33" s="125"/>
      <c r="AP33" s="125"/>
      <c r="AQ33" s="128" t="s">
        <v>58</v>
      </c>
      <c r="AR33" s="209" t="s">
        <v>58</v>
      </c>
      <c r="AS33" s="209" t="s">
        <v>58</v>
      </c>
      <c r="AT33" s="209" t="s">
        <v>58</v>
      </c>
      <c r="AU33" s="209" t="s">
        <v>58</v>
      </c>
      <c r="AV33" s="125"/>
      <c r="AW33" s="125"/>
      <c r="AX33" s="133"/>
      <c r="AY33" s="127"/>
      <c r="AZ33" s="210"/>
      <c r="BA33" s="127"/>
      <c r="BB33" s="127"/>
      <c r="BC33" s="125"/>
      <c r="BD33" s="125"/>
      <c r="BE33" s="133"/>
      <c r="BF33" s="127"/>
      <c r="BG33" s="127"/>
      <c r="BH33" s="127"/>
      <c r="BI33" s="127"/>
      <c r="BJ33" s="125"/>
      <c r="BK33" s="125"/>
      <c r="BL33" s="133"/>
      <c r="BM33" s="127"/>
      <c r="BN33" s="127"/>
      <c r="BO33" s="127"/>
      <c r="BP33" s="207"/>
      <c r="BQ33" s="125"/>
      <c r="BR33" s="125"/>
      <c r="BS33" s="133"/>
      <c r="BT33" s="138"/>
      <c r="BU33" s="138"/>
      <c r="BV33" s="138"/>
      <c r="BW33" s="138"/>
      <c r="BX33" s="125"/>
      <c r="BY33" s="125"/>
      <c r="BZ33" s="133"/>
      <c r="CA33" s="138"/>
      <c r="CB33" s="138"/>
      <c r="CC33" s="138"/>
      <c r="CD33" s="138"/>
      <c r="CE33" s="125"/>
      <c r="CF33" s="125"/>
      <c r="CG33" s="133"/>
      <c r="CH33" s="127"/>
      <c r="CI33" s="127"/>
      <c r="CJ33" s="127"/>
      <c r="CK33" s="127"/>
      <c r="CL33" s="125"/>
      <c r="CM33" s="125"/>
      <c r="CN33" s="133"/>
      <c r="CO33" s="127"/>
      <c r="CP33" s="127"/>
      <c r="CQ33" s="127"/>
      <c r="CR33" s="134"/>
      <c r="CS33" s="97"/>
      <c r="CT33" s="71"/>
      <c r="CU33" s="128" t="s">
        <v>58</v>
      </c>
      <c r="CV33" s="128" t="s">
        <v>58</v>
      </c>
      <c r="CW33" s="128" t="s">
        <v>58</v>
      </c>
      <c r="CX33" s="128" t="s">
        <v>58</v>
      </c>
      <c r="CY33" s="128" t="s">
        <v>58</v>
      </c>
      <c r="CZ33" s="125"/>
      <c r="DA33" s="125"/>
      <c r="DB33" s="109"/>
      <c r="DC33" s="109"/>
      <c r="DD33" s="109"/>
      <c r="DE33" s="109"/>
      <c r="DF33" s="109"/>
      <c r="DG33" s="125"/>
      <c r="DH33" s="125"/>
      <c r="DI33" s="133"/>
      <c r="DJ33" s="127"/>
      <c r="DK33" s="127"/>
      <c r="DL33" s="127"/>
      <c r="DM33" s="127"/>
      <c r="DN33" s="125"/>
      <c r="DO33" s="125"/>
      <c r="DP33" s="133"/>
      <c r="DQ33" s="127"/>
      <c r="DR33" s="127"/>
      <c r="DS33" s="127"/>
      <c r="DT33" s="127"/>
      <c r="DU33" s="71"/>
      <c r="DV33" s="97"/>
      <c r="DW33" s="139"/>
      <c r="DX33" s="127"/>
      <c r="DY33" s="127"/>
      <c r="DZ33" s="127"/>
      <c r="EA33" s="127"/>
      <c r="EB33" s="130"/>
      <c r="EC33" s="125"/>
      <c r="ED33" s="133"/>
      <c r="EE33" s="127"/>
      <c r="EF33" s="127"/>
      <c r="EG33" s="208"/>
      <c r="EH33" s="127"/>
      <c r="EI33" s="125"/>
      <c r="EJ33" s="125"/>
      <c r="EK33" s="133"/>
      <c r="EL33" s="127"/>
      <c r="EM33" s="127"/>
      <c r="EN33" s="127"/>
      <c r="EO33" s="127"/>
      <c r="EP33" s="125"/>
      <c r="EQ33" s="125"/>
      <c r="ER33" s="133"/>
      <c r="ES33" s="127"/>
      <c r="ET33" s="127"/>
      <c r="EU33" s="208"/>
      <c r="EV33" s="127"/>
      <c r="EW33" s="125"/>
      <c r="EX33" s="125"/>
      <c r="EY33" s="133"/>
      <c r="EZ33" s="127"/>
      <c r="FA33" s="127"/>
      <c r="FB33" s="208"/>
      <c r="FC33" s="127"/>
      <c r="FD33" s="125"/>
      <c r="FE33" s="125"/>
      <c r="FF33" s="133"/>
      <c r="FG33" s="134"/>
      <c r="FH33" s="134"/>
      <c r="FI33" s="134"/>
      <c r="FJ33" s="138"/>
      <c r="FK33" s="125"/>
      <c r="FL33" s="125"/>
      <c r="FM33" s="133"/>
      <c r="FN33" s="138"/>
      <c r="FO33" s="138"/>
      <c r="FP33" s="138"/>
      <c r="FQ33" s="138"/>
      <c r="FR33" s="125"/>
      <c r="FS33" s="125"/>
      <c r="FT33" s="211" t="s">
        <v>58</v>
      </c>
      <c r="FU33" s="211" t="s">
        <v>58</v>
      </c>
      <c r="FV33" s="211" t="s">
        <v>58</v>
      </c>
      <c r="FW33" s="97"/>
      <c r="FX33" s="97"/>
      <c r="FY33" s="97"/>
      <c r="FZ33" s="124"/>
      <c r="GA33" s="211" t="s">
        <v>58</v>
      </c>
      <c r="GB33" s="211" t="s">
        <v>58</v>
      </c>
      <c r="GC33" s="211" t="s">
        <v>58</v>
      </c>
      <c r="GD33" s="201"/>
      <c r="GE33" s="198"/>
      <c r="GF33" s="199"/>
      <c r="GG33" s="9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</row>
    <row r="34" ht="27.75" customHeight="1">
      <c r="A34" s="1"/>
      <c r="B34" s="141" t="s">
        <v>84</v>
      </c>
      <c r="C34" s="76"/>
      <c r="D34" s="76"/>
      <c r="E34" s="76"/>
      <c r="F34" s="71"/>
      <c r="G34" s="71"/>
      <c r="H34" s="84"/>
      <c r="I34" s="76"/>
      <c r="J34" s="76"/>
      <c r="K34" s="76"/>
      <c r="L34" s="76"/>
      <c r="M34" s="71"/>
      <c r="N34" s="71"/>
      <c r="O34" s="84"/>
      <c r="P34" s="76"/>
      <c r="Q34" s="76"/>
      <c r="R34" s="76"/>
      <c r="S34" s="76"/>
      <c r="T34" s="71"/>
      <c r="U34" s="71"/>
      <c r="V34" s="84"/>
      <c r="W34" s="76"/>
      <c r="X34" s="76"/>
      <c r="Y34" s="76"/>
      <c r="Z34" s="76"/>
      <c r="AA34" s="71"/>
      <c r="AB34" s="71"/>
      <c r="AC34" s="84"/>
      <c r="AD34" s="76"/>
      <c r="AE34" s="76"/>
      <c r="AF34" s="76"/>
      <c r="AG34" s="76"/>
      <c r="AH34" s="71"/>
      <c r="AI34" s="71"/>
      <c r="AJ34" s="84"/>
      <c r="AK34" s="76"/>
      <c r="AL34" s="76"/>
      <c r="AM34" s="76"/>
      <c r="AN34" s="76"/>
      <c r="AO34" s="71"/>
      <c r="AP34" s="71"/>
      <c r="AQ34" s="84"/>
      <c r="AR34" s="80"/>
      <c r="AS34" s="80"/>
      <c r="AT34" s="80"/>
      <c r="AU34" s="80"/>
      <c r="AV34" s="71"/>
      <c r="AW34" s="71"/>
      <c r="AX34" s="84"/>
      <c r="AY34" s="80"/>
      <c r="AZ34" s="80"/>
      <c r="BA34" s="80"/>
      <c r="BB34" s="80"/>
      <c r="BC34" s="71"/>
      <c r="BD34" s="71"/>
      <c r="BE34" s="84"/>
      <c r="BF34" s="76"/>
      <c r="BG34" s="76"/>
      <c r="BH34" s="76"/>
      <c r="BI34" s="76"/>
      <c r="BJ34" s="71"/>
      <c r="BK34" s="71"/>
      <c r="BL34" s="84"/>
      <c r="BM34" s="76"/>
      <c r="BN34" s="76"/>
      <c r="BO34" s="76"/>
      <c r="BP34" s="76"/>
      <c r="BQ34" s="71"/>
      <c r="BR34" s="71"/>
      <c r="BS34" s="84"/>
      <c r="BT34" s="80"/>
      <c r="BU34" s="80"/>
      <c r="BV34" s="80"/>
      <c r="BW34" s="80"/>
      <c r="BX34" s="71"/>
      <c r="BY34" s="71"/>
      <c r="BZ34" s="84"/>
      <c r="CA34" s="76"/>
      <c r="CB34" s="76"/>
      <c r="CC34" s="76"/>
      <c r="CD34" s="76"/>
      <c r="CE34" s="71"/>
      <c r="CF34" s="71"/>
      <c r="CG34" s="84"/>
      <c r="CH34" s="76"/>
      <c r="CI34" s="76"/>
      <c r="CJ34" s="76"/>
      <c r="CK34" s="76"/>
      <c r="CL34" s="71"/>
      <c r="CM34" s="71"/>
      <c r="CN34" s="84"/>
      <c r="CO34" s="76"/>
      <c r="CP34" s="76"/>
      <c r="CQ34" s="76"/>
      <c r="CR34" s="76"/>
      <c r="CS34" s="97"/>
      <c r="CT34" s="71"/>
      <c r="CU34" s="84"/>
      <c r="CV34" s="80"/>
      <c r="CW34" s="76"/>
      <c r="CX34" s="80"/>
      <c r="CY34" s="80"/>
      <c r="CZ34" s="71"/>
      <c r="DA34" s="71"/>
      <c r="DB34" s="84"/>
      <c r="DC34" s="80"/>
      <c r="DD34" s="80"/>
      <c r="DE34" s="80"/>
      <c r="DF34" s="80"/>
      <c r="DG34" s="71"/>
      <c r="DH34" s="71"/>
      <c r="DI34" s="84"/>
      <c r="DJ34" s="80"/>
      <c r="DK34" s="76"/>
      <c r="DL34" s="76"/>
      <c r="DM34" s="80"/>
      <c r="DN34" s="71"/>
      <c r="DO34" s="71"/>
      <c r="DP34" s="84"/>
      <c r="DQ34" s="80"/>
      <c r="DR34" s="76"/>
      <c r="DS34" s="76"/>
      <c r="DT34" s="80"/>
      <c r="DU34" s="71"/>
      <c r="DV34" s="97"/>
      <c r="DW34" s="212"/>
      <c r="DX34" s="76"/>
      <c r="DY34" s="76"/>
      <c r="DZ34" s="76"/>
      <c r="EA34" s="80"/>
      <c r="EB34" s="71"/>
      <c r="EC34" s="71"/>
      <c r="ED34" s="84"/>
      <c r="EE34" s="76"/>
      <c r="EF34" s="76"/>
      <c r="EG34" s="80"/>
      <c r="EH34" s="80"/>
      <c r="EI34" s="71"/>
      <c r="EJ34" s="71"/>
      <c r="EK34" s="84"/>
      <c r="EL34" s="76"/>
      <c r="EM34" s="76"/>
      <c r="EN34" s="76"/>
      <c r="EO34" s="80"/>
      <c r="EP34" s="71"/>
      <c r="EQ34" s="71"/>
      <c r="ER34" s="84"/>
      <c r="ES34" s="76"/>
      <c r="ET34" s="76"/>
      <c r="EU34" s="76"/>
      <c r="EV34" s="80"/>
      <c r="EW34" s="71"/>
      <c r="EX34" s="71"/>
      <c r="EY34" s="84"/>
      <c r="EZ34" s="76"/>
      <c r="FA34" s="76"/>
      <c r="FB34" s="80"/>
      <c r="FC34" s="80"/>
      <c r="FD34" s="71"/>
      <c r="FE34" s="71"/>
      <c r="FF34" s="84"/>
      <c r="FG34" s="76"/>
      <c r="FH34" s="76"/>
      <c r="FI34" s="76"/>
      <c r="FJ34" s="76"/>
      <c r="FK34" s="71"/>
      <c r="FL34" s="71"/>
      <c r="FM34" s="84"/>
      <c r="FN34" s="76"/>
      <c r="FO34" s="76"/>
      <c r="FP34" s="76"/>
      <c r="FQ34" s="76"/>
      <c r="FR34" s="71"/>
      <c r="FS34" s="71"/>
      <c r="FT34" s="84"/>
      <c r="FU34" s="76"/>
      <c r="FV34" s="76"/>
      <c r="FW34" s="97"/>
      <c r="FX34" s="97"/>
      <c r="FY34" s="97"/>
      <c r="FZ34" s="213"/>
      <c r="GA34" s="214"/>
      <c r="GB34" s="76"/>
      <c r="GC34" s="76"/>
      <c r="GD34" s="201"/>
      <c r="GE34" s="198"/>
      <c r="GF34" s="202"/>
      <c r="GG34" s="9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</row>
    <row r="35" ht="27.75" customHeight="1">
      <c r="A35" s="1"/>
      <c r="B35" s="144" t="s">
        <v>85</v>
      </c>
      <c r="C35" s="76"/>
      <c r="D35" s="76"/>
      <c r="E35" s="76"/>
      <c r="F35" s="71"/>
      <c r="G35" s="71"/>
      <c r="H35" s="84"/>
      <c r="I35" s="76"/>
      <c r="J35" s="76"/>
      <c r="K35" s="76"/>
      <c r="L35" s="76"/>
      <c r="M35" s="71"/>
      <c r="N35" s="71"/>
      <c r="O35" s="84"/>
      <c r="P35" s="102"/>
      <c r="Q35" s="102"/>
      <c r="R35" s="102"/>
      <c r="S35" s="102"/>
      <c r="T35" s="71"/>
      <c r="U35" s="71"/>
      <c r="V35" s="89" t="s">
        <v>58</v>
      </c>
      <c r="W35" s="89" t="s">
        <v>58</v>
      </c>
      <c r="X35" s="89" t="s">
        <v>58</v>
      </c>
      <c r="Y35" s="89" t="s">
        <v>58</v>
      </c>
      <c r="Z35" s="89" t="s">
        <v>58</v>
      </c>
      <c r="AA35" s="71"/>
      <c r="AB35" s="71"/>
      <c r="AC35" s="89" t="s">
        <v>58</v>
      </c>
      <c r="AD35" s="89" t="s">
        <v>58</v>
      </c>
      <c r="AE35" s="76"/>
      <c r="AF35" s="76"/>
      <c r="AG35" s="76"/>
      <c r="AH35" s="71"/>
      <c r="AI35" s="71"/>
      <c r="AJ35" s="84"/>
      <c r="AK35" s="76"/>
      <c r="AL35" s="76"/>
      <c r="AM35" s="76"/>
      <c r="AN35" s="89" t="s">
        <v>58</v>
      </c>
      <c r="AO35" s="71"/>
      <c r="AP35" s="71"/>
      <c r="AQ35" s="89" t="s">
        <v>58</v>
      </c>
      <c r="AR35" s="90"/>
      <c r="AS35" s="215"/>
      <c r="AT35" s="215"/>
      <c r="AU35" s="215"/>
      <c r="AV35" s="71"/>
      <c r="AW35" s="71"/>
      <c r="AX35" s="84"/>
      <c r="AY35" s="215"/>
      <c r="AZ35" s="215"/>
      <c r="BA35" s="76"/>
      <c r="BB35" s="76"/>
      <c r="BC35" s="71"/>
      <c r="BD35" s="71"/>
      <c r="BE35" s="84"/>
      <c r="BF35" s="76"/>
      <c r="BG35" s="76"/>
      <c r="BH35" s="76"/>
      <c r="BI35" s="76"/>
      <c r="BJ35" s="71"/>
      <c r="BK35" s="71"/>
      <c r="BL35" s="84"/>
      <c r="BM35" s="76"/>
      <c r="BN35" s="76"/>
      <c r="BO35" s="76"/>
      <c r="BP35" s="76"/>
      <c r="BQ35" s="71"/>
      <c r="BR35" s="71"/>
      <c r="BS35" s="84"/>
      <c r="BT35" s="76"/>
      <c r="BU35" s="76"/>
      <c r="BV35" s="76"/>
      <c r="BW35" s="76"/>
      <c r="BX35" s="71"/>
      <c r="BY35" s="71"/>
      <c r="BZ35" s="84"/>
      <c r="CA35" s="76"/>
      <c r="CB35" s="76"/>
      <c r="CC35" s="119"/>
      <c r="CD35" s="102"/>
      <c r="CE35" s="71"/>
      <c r="CF35" s="71"/>
      <c r="CG35" s="89" t="s">
        <v>58</v>
      </c>
      <c r="CH35" s="89" t="s">
        <v>58</v>
      </c>
      <c r="CI35" s="89" t="s">
        <v>58</v>
      </c>
      <c r="CJ35" s="89" t="s">
        <v>58</v>
      </c>
      <c r="CK35" s="89" t="s">
        <v>58</v>
      </c>
      <c r="CL35" s="71"/>
      <c r="CM35" s="71"/>
      <c r="CN35" s="89" t="s">
        <v>58</v>
      </c>
      <c r="CO35" s="89" t="s">
        <v>58</v>
      </c>
      <c r="CP35" s="89" t="s">
        <v>58</v>
      </c>
      <c r="CQ35" s="89" t="s">
        <v>58</v>
      </c>
      <c r="CR35" s="89" t="s">
        <v>58</v>
      </c>
      <c r="CS35" s="97"/>
      <c r="CT35" s="71"/>
      <c r="CU35" s="84"/>
      <c r="CV35" s="146"/>
      <c r="CW35" s="76"/>
      <c r="CX35" s="76"/>
      <c r="CY35" s="76"/>
      <c r="CZ35" s="71"/>
      <c r="DA35" s="71"/>
      <c r="DB35" s="84"/>
      <c r="DC35" s="146"/>
      <c r="DD35" s="76"/>
      <c r="DE35" s="76"/>
      <c r="DF35" s="76"/>
      <c r="DG35" s="71"/>
      <c r="DH35" s="71"/>
      <c r="DI35" s="84"/>
      <c r="DJ35" s="146"/>
      <c r="DK35" s="76"/>
      <c r="DL35" s="89" t="s">
        <v>58</v>
      </c>
      <c r="DM35" s="89" t="s">
        <v>58</v>
      </c>
      <c r="DN35" s="71"/>
      <c r="DO35" s="71"/>
      <c r="DP35" s="84"/>
      <c r="DQ35" s="76"/>
      <c r="DR35" s="76"/>
      <c r="DS35" s="76"/>
      <c r="DT35" s="76"/>
      <c r="DU35" s="71"/>
      <c r="DV35" s="97"/>
      <c r="DW35" s="84"/>
      <c r="DX35" s="146"/>
      <c r="DY35" s="76"/>
      <c r="DZ35" s="76"/>
      <c r="EA35" s="76"/>
      <c r="EB35" s="71"/>
      <c r="EC35" s="71"/>
      <c r="ED35" s="89" t="s">
        <v>58</v>
      </c>
      <c r="EE35" s="146"/>
      <c r="EF35" s="76"/>
      <c r="EG35" s="76"/>
      <c r="EH35" s="76"/>
      <c r="EI35" s="71"/>
      <c r="EJ35" s="71"/>
      <c r="EK35" s="84"/>
      <c r="EL35" s="146"/>
      <c r="EM35" s="76"/>
      <c r="EN35" s="76"/>
      <c r="EO35" s="76"/>
      <c r="EP35" s="71"/>
      <c r="EQ35" s="71"/>
      <c r="ER35" s="84"/>
      <c r="ES35" s="76"/>
      <c r="ET35" s="76"/>
      <c r="EU35" s="76"/>
      <c r="EV35" s="215"/>
      <c r="EW35" s="71"/>
      <c r="EX35" s="71"/>
      <c r="EY35" s="89" t="s">
        <v>58</v>
      </c>
      <c r="EZ35" s="89" t="s">
        <v>58</v>
      </c>
      <c r="FA35" s="102"/>
      <c r="FB35" s="76"/>
      <c r="FC35" s="76"/>
      <c r="FD35" s="71"/>
      <c r="FE35" s="71"/>
      <c r="FF35" s="84"/>
      <c r="FG35" s="102"/>
      <c r="FH35" s="76"/>
      <c r="FI35" s="76"/>
      <c r="FJ35" s="102"/>
      <c r="FK35" s="71"/>
      <c r="FL35" s="71"/>
      <c r="FM35" s="84"/>
      <c r="FN35" s="146"/>
      <c r="FO35" s="76"/>
      <c r="FP35" s="76"/>
      <c r="FQ35" s="76"/>
      <c r="FR35" s="71"/>
      <c r="FS35" s="71"/>
      <c r="FT35" s="84"/>
      <c r="FU35" s="102"/>
      <c r="FV35" s="102"/>
      <c r="FW35" s="97"/>
      <c r="FX35" s="97"/>
      <c r="FY35" s="97"/>
      <c r="FZ35" s="71"/>
      <c r="GA35" s="84"/>
      <c r="GB35" s="102"/>
      <c r="GC35" s="102"/>
      <c r="GD35" s="201"/>
      <c r="GE35" s="198"/>
      <c r="GF35" s="199"/>
      <c r="GG35" s="9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</row>
    <row r="36" ht="27.75" customHeight="1">
      <c r="A36" s="1"/>
      <c r="B36" s="150" t="s">
        <v>86</v>
      </c>
      <c r="C36" s="76"/>
      <c r="D36" s="119"/>
      <c r="E36" s="119"/>
      <c r="F36" s="71"/>
      <c r="G36" s="71"/>
      <c r="H36" s="216"/>
      <c r="I36" s="76"/>
      <c r="J36" s="76"/>
      <c r="K36" s="119"/>
      <c r="L36" s="119"/>
      <c r="M36" s="71"/>
      <c r="N36" s="71"/>
      <c r="O36" s="216"/>
      <c r="P36" s="76"/>
      <c r="Q36" s="76"/>
      <c r="R36" s="76"/>
      <c r="S36" s="76"/>
      <c r="T36" s="71"/>
      <c r="U36" s="71"/>
      <c r="V36" s="216"/>
      <c r="W36" s="76"/>
      <c r="X36" s="76"/>
      <c r="Y36" s="119"/>
      <c r="Z36" s="119"/>
      <c r="AA36" s="71"/>
      <c r="AB36" s="71"/>
      <c r="AC36" s="216"/>
      <c r="AD36" s="119"/>
      <c r="AE36" s="119"/>
      <c r="AF36" s="217"/>
      <c r="AG36" s="89" t="s">
        <v>58</v>
      </c>
      <c r="AH36" s="71"/>
      <c r="AI36" s="71"/>
      <c r="AJ36" s="216"/>
      <c r="AK36" s="217"/>
      <c r="AL36" s="217"/>
      <c r="AM36" s="217"/>
      <c r="AN36" s="217"/>
      <c r="AO36" s="71"/>
      <c r="AP36" s="71"/>
      <c r="AQ36" s="216"/>
      <c r="AR36" s="217"/>
      <c r="AS36" s="217"/>
      <c r="AT36" s="217"/>
      <c r="AU36" s="217"/>
      <c r="AV36" s="71"/>
      <c r="AW36" s="71"/>
      <c r="AX36" s="89" t="s">
        <v>58</v>
      </c>
      <c r="AY36" s="89" t="s">
        <v>58</v>
      </c>
      <c r="AZ36" s="89" t="s">
        <v>58</v>
      </c>
      <c r="BA36" s="89" t="s">
        <v>58</v>
      </c>
      <c r="BB36" s="89" t="s">
        <v>58</v>
      </c>
      <c r="BC36" s="71"/>
      <c r="BD36" s="71"/>
      <c r="BE36" s="89" t="s">
        <v>58</v>
      </c>
      <c r="BF36" s="89" t="s">
        <v>58</v>
      </c>
      <c r="BG36" s="89" t="s">
        <v>58</v>
      </c>
      <c r="BH36" s="89" t="s">
        <v>58</v>
      </c>
      <c r="BI36" s="89" t="s">
        <v>58</v>
      </c>
      <c r="BJ36" s="71"/>
      <c r="BK36" s="71"/>
      <c r="BL36" s="89" t="s">
        <v>58</v>
      </c>
      <c r="BM36" s="89" t="s">
        <v>58</v>
      </c>
      <c r="BN36" s="89" t="s">
        <v>58</v>
      </c>
      <c r="BO36" s="89" t="s">
        <v>58</v>
      </c>
      <c r="BP36" s="89" t="s">
        <v>58</v>
      </c>
      <c r="BQ36" s="71"/>
      <c r="BR36" s="71"/>
      <c r="BS36" s="89" t="s">
        <v>58</v>
      </c>
      <c r="BT36" s="89" t="s">
        <v>58</v>
      </c>
      <c r="BU36" s="89" t="s">
        <v>58</v>
      </c>
      <c r="BV36" s="89" t="s">
        <v>58</v>
      </c>
      <c r="BW36" s="89" t="s">
        <v>58</v>
      </c>
      <c r="BX36" s="71"/>
      <c r="BY36" s="71"/>
      <c r="BZ36" s="216"/>
      <c r="CA36" s="216"/>
      <c r="CB36" s="218"/>
      <c r="CC36" s="218"/>
      <c r="CD36" s="218"/>
      <c r="CE36" s="71"/>
      <c r="CF36" s="71"/>
      <c r="CG36" s="216"/>
      <c r="CH36" s="216"/>
      <c r="CI36" s="219"/>
      <c r="CJ36" s="218"/>
      <c r="CK36" s="218"/>
      <c r="CL36" s="71"/>
      <c r="CM36" s="71"/>
      <c r="CN36" s="216"/>
      <c r="CO36" s="220"/>
      <c r="CP36" s="218"/>
      <c r="CQ36" s="218"/>
      <c r="CR36" s="218"/>
      <c r="CS36" s="155"/>
      <c r="CT36" s="71"/>
      <c r="CU36" s="216"/>
      <c r="CV36" s="216"/>
      <c r="CW36" s="218"/>
      <c r="CX36" s="218"/>
      <c r="CY36" s="218"/>
      <c r="CZ36" s="71"/>
      <c r="DA36" s="71"/>
      <c r="DB36" s="216"/>
      <c r="DC36" s="216"/>
      <c r="DD36" s="218"/>
      <c r="DE36" s="218"/>
      <c r="DF36" s="218"/>
      <c r="DG36" s="71"/>
      <c r="DH36" s="71"/>
      <c r="DI36" s="216"/>
      <c r="DJ36" s="102"/>
      <c r="DK36" s="102"/>
      <c r="DL36" s="102"/>
      <c r="DM36" s="102"/>
      <c r="DN36" s="71"/>
      <c r="DO36" s="71"/>
      <c r="DP36" s="89" t="s">
        <v>58</v>
      </c>
      <c r="DQ36" s="89" t="s">
        <v>58</v>
      </c>
      <c r="DR36" s="89" t="s">
        <v>58</v>
      </c>
      <c r="DS36" s="89" t="s">
        <v>58</v>
      </c>
      <c r="DT36" s="89" t="s">
        <v>58</v>
      </c>
      <c r="DU36" s="71"/>
      <c r="DV36" s="155"/>
      <c r="DW36" s="216"/>
      <c r="DX36" s="216"/>
      <c r="DY36" s="218"/>
      <c r="DZ36" s="218"/>
      <c r="EA36" s="218"/>
      <c r="EB36" s="71"/>
      <c r="EC36" s="71"/>
      <c r="ED36" s="216"/>
      <c r="EE36" s="216"/>
      <c r="EF36" s="218"/>
      <c r="EG36" s="218"/>
      <c r="EH36" s="218"/>
      <c r="EI36" s="71"/>
      <c r="EJ36" s="71"/>
      <c r="EK36" s="216"/>
      <c r="EL36" s="216"/>
      <c r="EM36" s="218"/>
      <c r="EN36" s="218"/>
      <c r="EO36" s="218"/>
      <c r="EP36" s="71"/>
      <c r="EQ36" s="71"/>
      <c r="ER36" s="216"/>
      <c r="ES36" s="219"/>
      <c r="ET36" s="219"/>
      <c r="EU36" s="219"/>
      <c r="EV36" s="218"/>
      <c r="EW36" s="71"/>
      <c r="EX36" s="71"/>
      <c r="EY36" s="216"/>
      <c r="EZ36" s="216"/>
      <c r="FA36" s="218"/>
      <c r="FB36" s="218"/>
      <c r="FC36" s="218"/>
      <c r="FD36" s="71"/>
      <c r="FE36" s="71"/>
      <c r="FF36" s="216"/>
      <c r="FG36" s="216"/>
      <c r="FH36" s="218"/>
      <c r="FI36" s="218"/>
      <c r="FJ36" s="218"/>
      <c r="FK36" s="71"/>
      <c r="FL36" s="71"/>
      <c r="FM36" s="216"/>
      <c r="FN36" s="216"/>
      <c r="FO36" s="218"/>
      <c r="FP36" s="218"/>
      <c r="FQ36" s="218"/>
      <c r="FR36" s="71"/>
      <c r="FS36" s="71"/>
      <c r="FT36" s="216"/>
      <c r="FU36" s="216"/>
      <c r="FV36" s="221"/>
      <c r="FW36" s="155"/>
      <c r="FX36" s="155"/>
      <c r="FY36" s="155"/>
      <c r="FZ36" s="222"/>
      <c r="GA36" s="216"/>
      <c r="GB36" s="216"/>
      <c r="GC36" s="221"/>
      <c r="GD36" s="223"/>
      <c r="GE36" s="198"/>
      <c r="GF36" s="199"/>
      <c r="GG36" s="9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</row>
    <row r="37" ht="30.0" customHeight="1">
      <c r="A37" s="224"/>
      <c r="B37" s="225"/>
      <c r="C37" s="226"/>
      <c r="D37" s="227"/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8" t="s">
        <v>1</v>
      </c>
      <c r="P37" s="166"/>
      <c r="Q37" s="166"/>
      <c r="R37" s="167"/>
      <c r="S37" s="229">
        <f>C2+1</f>
        <v>2027</v>
      </c>
      <c r="T37" s="166"/>
      <c r="U37" s="166"/>
      <c r="V37" s="167"/>
      <c r="W37" s="227"/>
      <c r="X37" s="227"/>
      <c r="Y37" s="227"/>
      <c r="Z37" s="227"/>
      <c r="AA37" s="227"/>
      <c r="AB37" s="227"/>
      <c r="AC37" s="227"/>
      <c r="AD37" s="227"/>
      <c r="AE37" s="227"/>
      <c r="AF37" s="227"/>
      <c r="AG37" s="230"/>
      <c r="AH37" s="226"/>
      <c r="AI37" s="227"/>
      <c r="AJ37" s="227"/>
      <c r="AK37" s="227"/>
      <c r="AL37" s="227"/>
      <c r="AM37" s="227"/>
      <c r="AN37" s="227"/>
      <c r="AO37" s="227"/>
      <c r="AP37" s="227"/>
      <c r="AQ37" s="227"/>
      <c r="AR37" s="227"/>
      <c r="AS37" s="227"/>
      <c r="AT37" s="231" t="s">
        <v>2</v>
      </c>
      <c r="AU37" s="166"/>
      <c r="AV37" s="166"/>
      <c r="AW37" s="167"/>
      <c r="AX37" s="229">
        <f>C2+1</f>
        <v>2027</v>
      </c>
      <c r="AY37" s="166"/>
      <c r="AZ37" s="166"/>
      <c r="BA37" s="167"/>
      <c r="BB37" s="227"/>
      <c r="BC37" s="227"/>
      <c r="BD37" s="227"/>
      <c r="BE37" s="227"/>
      <c r="BF37" s="227"/>
      <c r="BG37" s="227"/>
      <c r="BH37" s="227"/>
      <c r="BI37" s="230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94"/>
      <c r="CQ37" s="94"/>
      <c r="CR37" s="94"/>
      <c r="CS37" s="94"/>
      <c r="CT37" s="94"/>
      <c r="CU37" s="94"/>
      <c r="CV37" s="94"/>
      <c r="CW37" s="94"/>
      <c r="CX37" s="94"/>
      <c r="CY37" s="94"/>
      <c r="CZ37" s="94"/>
      <c r="DA37" s="94"/>
      <c r="DB37" s="94"/>
      <c r="DC37" s="94"/>
      <c r="DD37" s="94"/>
      <c r="DE37" s="94"/>
      <c r="DF37" s="94"/>
      <c r="DG37" s="94"/>
      <c r="DH37" s="94"/>
      <c r="DI37" s="94"/>
      <c r="DJ37" s="94"/>
      <c r="DK37" s="94"/>
      <c r="DL37" s="9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61"/>
      <c r="FK37" s="140"/>
      <c r="FL37" s="140"/>
      <c r="FM37" s="140" t="s">
        <v>122</v>
      </c>
      <c r="FN37" s="140"/>
      <c r="FO37" s="140"/>
      <c r="FP37" s="161"/>
      <c r="FQ37" s="161"/>
      <c r="FR37" s="140"/>
      <c r="FS37" s="232"/>
      <c r="FT37" s="232"/>
      <c r="FU37" s="233"/>
      <c r="FV37" s="233"/>
      <c r="FW37" s="161"/>
      <c r="FX37" s="161"/>
      <c r="FY37" s="161"/>
      <c r="FZ37" s="234"/>
      <c r="GA37" s="234"/>
      <c r="GB37" s="234"/>
      <c r="GC37" s="234"/>
      <c r="GD37" s="161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</row>
    <row r="38" ht="18.0" customHeight="1">
      <c r="A38" s="235"/>
      <c r="B38" s="236"/>
      <c r="C38" s="237" t="s">
        <v>7</v>
      </c>
      <c r="D38" s="34"/>
      <c r="E38" s="34"/>
      <c r="F38" s="34"/>
      <c r="G38" s="34"/>
      <c r="H38" s="34"/>
      <c r="I38" s="34"/>
      <c r="J38" s="34"/>
      <c r="K38" s="34"/>
      <c r="L38" s="35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9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8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84"/>
      <c r="CQ38" s="184"/>
      <c r="CR38" s="184"/>
      <c r="CS38" s="184"/>
      <c r="CT38" s="184"/>
      <c r="CU38" s="184"/>
      <c r="CV38" s="184"/>
      <c r="CW38" s="184"/>
      <c r="CX38" s="184"/>
      <c r="CY38" s="184"/>
      <c r="CZ38" s="184"/>
      <c r="DA38" s="184"/>
      <c r="DB38" s="184"/>
      <c r="DC38" s="184"/>
      <c r="DD38" s="184"/>
      <c r="DE38" s="184"/>
      <c r="DF38" s="184"/>
      <c r="DG38" s="184"/>
      <c r="DH38" s="184"/>
      <c r="DI38" s="184"/>
      <c r="DJ38" s="184"/>
      <c r="DK38" s="184"/>
      <c r="DL38" s="184"/>
      <c r="DM38" s="184"/>
      <c r="DN38" s="184"/>
      <c r="DO38" s="184"/>
      <c r="DP38" s="184"/>
      <c r="DQ38" s="184"/>
      <c r="DR38" s="184"/>
      <c r="DS38" s="184"/>
      <c r="DT38" s="184"/>
      <c r="DU38" s="184"/>
      <c r="DV38" s="184"/>
      <c r="DW38" s="184"/>
      <c r="DX38" s="184"/>
      <c r="DY38" s="184"/>
      <c r="DZ38" s="184"/>
      <c r="EA38" s="184"/>
      <c r="EB38" s="184"/>
      <c r="EC38" s="184"/>
      <c r="ED38" s="184"/>
      <c r="EE38" s="184"/>
      <c r="EF38" s="184"/>
      <c r="EG38" s="184"/>
      <c r="EH38" s="184"/>
      <c r="EI38" s="184"/>
      <c r="EJ38" s="184"/>
      <c r="EK38" s="184"/>
      <c r="EL38" s="184"/>
      <c r="EM38" s="184"/>
      <c r="EN38" s="184"/>
      <c r="EO38" s="184"/>
      <c r="EP38" s="184"/>
      <c r="EQ38" s="184"/>
      <c r="ER38" s="184"/>
      <c r="ES38" s="184"/>
      <c r="ET38" s="184"/>
      <c r="EU38" s="184"/>
      <c r="EV38" s="184"/>
      <c r="EW38" s="184"/>
      <c r="EX38" s="184"/>
      <c r="EY38" s="184"/>
      <c r="EZ38" s="185"/>
      <c r="FA38" s="185"/>
      <c r="FB38" s="184"/>
      <c r="FC38" s="184"/>
      <c r="FD38" s="184"/>
      <c r="FE38" s="184"/>
      <c r="FF38" s="184"/>
      <c r="FG38" s="184"/>
      <c r="FH38" s="184"/>
      <c r="FI38" s="184"/>
      <c r="FJ38" s="184"/>
      <c r="FK38" s="184"/>
      <c r="FL38" s="184"/>
      <c r="FM38" s="184"/>
      <c r="FN38" s="184"/>
      <c r="FO38" s="184"/>
      <c r="FP38" s="184"/>
      <c r="FQ38" s="14"/>
      <c r="FR38" s="184"/>
      <c r="FS38" s="184"/>
      <c r="FT38" s="184"/>
      <c r="FU38" s="184"/>
      <c r="FV38" s="184"/>
      <c r="FW38" s="184"/>
      <c r="FX38" s="184"/>
      <c r="FY38" s="184"/>
      <c r="FZ38" s="184"/>
      <c r="GA38" s="184"/>
      <c r="GB38" s="185"/>
      <c r="GC38" s="184"/>
      <c r="GD38" s="184"/>
      <c r="GE38" s="184"/>
      <c r="GF38" s="184"/>
      <c r="GG38" s="184"/>
      <c r="GH38" s="184"/>
      <c r="GI38" s="184"/>
      <c r="GJ38" s="184"/>
      <c r="GK38" s="184"/>
      <c r="GL38" s="184"/>
      <c r="GM38" s="184"/>
      <c r="GN38" s="184"/>
      <c r="GO38" s="184"/>
      <c r="GP38" s="184"/>
      <c r="GQ38" s="184"/>
      <c r="GR38" s="184"/>
      <c r="GS38" s="184"/>
      <c r="GT38" s="184"/>
      <c r="GU38" s="184"/>
      <c r="GV38" s="184"/>
      <c r="GW38" s="184"/>
      <c r="GX38" s="184"/>
      <c r="GY38" s="184"/>
      <c r="GZ38" s="184"/>
      <c r="HA38" s="184"/>
    </row>
    <row r="39" ht="18.0" customHeight="1">
      <c r="A39" s="235"/>
      <c r="B39" s="240"/>
      <c r="C39" s="46" t="s">
        <v>11</v>
      </c>
      <c r="D39" s="47"/>
      <c r="E39" s="47"/>
      <c r="F39" s="48"/>
      <c r="G39" s="46" t="s">
        <v>12</v>
      </c>
      <c r="H39" s="47"/>
      <c r="I39" s="47"/>
      <c r="J39" s="47"/>
      <c r="K39" s="47"/>
      <c r="L39" s="47"/>
      <c r="M39" s="48"/>
      <c r="N39" s="46" t="s">
        <v>13</v>
      </c>
      <c r="O39" s="47"/>
      <c r="P39" s="47"/>
      <c r="Q39" s="47"/>
      <c r="R39" s="47"/>
      <c r="S39" s="47"/>
      <c r="T39" s="48"/>
      <c r="U39" s="46" t="s">
        <v>14</v>
      </c>
      <c r="V39" s="47"/>
      <c r="W39" s="47"/>
      <c r="X39" s="47"/>
      <c r="Y39" s="47"/>
      <c r="Z39" s="47"/>
      <c r="AA39" s="48"/>
      <c r="AB39" s="46" t="s">
        <v>15</v>
      </c>
      <c r="AC39" s="47"/>
      <c r="AD39" s="47"/>
      <c r="AE39" s="47"/>
      <c r="AF39" s="47"/>
      <c r="AG39" s="47"/>
      <c r="AH39" s="48"/>
      <c r="AI39" s="46" t="s">
        <v>16</v>
      </c>
      <c r="AJ39" s="47"/>
      <c r="AK39" s="47"/>
      <c r="AL39" s="47"/>
      <c r="AM39" s="47"/>
      <c r="AN39" s="47"/>
      <c r="AO39" s="48"/>
      <c r="AP39" s="46" t="s">
        <v>17</v>
      </c>
      <c r="AQ39" s="47"/>
      <c r="AR39" s="47"/>
      <c r="AS39" s="47"/>
      <c r="AT39" s="47"/>
      <c r="AU39" s="47"/>
      <c r="AV39" s="48"/>
      <c r="AW39" s="46" t="s">
        <v>18</v>
      </c>
      <c r="AX39" s="47"/>
      <c r="AY39" s="47"/>
      <c r="AZ39" s="47"/>
      <c r="BA39" s="47"/>
      <c r="BB39" s="47"/>
      <c r="BC39" s="48"/>
      <c r="BD39" s="46" t="s">
        <v>19</v>
      </c>
      <c r="BE39" s="47"/>
      <c r="BF39" s="47"/>
      <c r="BG39" s="47"/>
      <c r="BH39" s="47"/>
      <c r="BI39" s="48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84"/>
      <c r="CQ39" s="184"/>
      <c r="CR39" s="184"/>
      <c r="CS39" s="184"/>
      <c r="CT39" s="184"/>
      <c r="CU39" s="184"/>
      <c r="CV39" s="184"/>
      <c r="CW39" s="184"/>
      <c r="CX39" s="184"/>
      <c r="CY39" s="184"/>
      <c r="CZ39" s="184"/>
      <c r="DA39" s="184"/>
      <c r="DB39" s="184"/>
      <c r="DC39" s="184"/>
      <c r="DD39" s="184"/>
      <c r="DE39" s="184"/>
      <c r="DF39" s="184"/>
      <c r="DG39" s="184"/>
      <c r="DH39" s="184"/>
      <c r="DI39" s="184"/>
      <c r="DJ39" s="184"/>
      <c r="DK39" s="184"/>
      <c r="DL39" s="184"/>
      <c r="DM39" s="184"/>
      <c r="DN39" s="184"/>
      <c r="DO39" s="184"/>
      <c r="DP39" s="184"/>
      <c r="DQ39" s="184"/>
      <c r="DR39" s="184"/>
      <c r="DS39" s="184"/>
      <c r="DT39" s="184"/>
      <c r="DU39" s="184"/>
      <c r="DV39" s="184"/>
      <c r="DW39" s="184"/>
      <c r="DX39" s="184"/>
      <c r="DY39" s="184"/>
      <c r="DZ39" s="184"/>
      <c r="EA39" s="184"/>
      <c r="EB39" s="184"/>
      <c r="EC39" s="184"/>
      <c r="ED39" s="184"/>
      <c r="EE39" s="184"/>
      <c r="EF39" s="184"/>
      <c r="EG39" s="184"/>
      <c r="EH39" s="184"/>
      <c r="EI39" s="184"/>
      <c r="EJ39" s="184"/>
      <c r="EK39" s="184"/>
      <c r="EL39" s="184"/>
      <c r="EM39" s="184"/>
      <c r="EN39" s="184"/>
      <c r="EO39" s="184"/>
      <c r="EP39" s="184"/>
      <c r="EQ39" s="184"/>
      <c r="ER39" s="184"/>
      <c r="ES39" s="184"/>
      <c r="ET39" s="184"/>
      <c r="EU39" s="184"/>
      <c r="EV39" s="184"/>
      <c r="EW39" s="184"/>
      <c r="EX39" s="184"/>
      <c r="EY39" s="184"/>
      <c r="EZ39" s="185"/>
      <c r="FA39" s="185"/>
      <c r="FB39" s="184"/>
      <c r="FC39" s="184"/>
      <c r="FD39" s="184"/>
      <c r="FE39" s="184"/>
      <c r="FF39" s="184"/>
      <c r="FG39" s="184"/>
      <c r="FH39" s="184"/>
      <c r="FI39" s="184"/>
      <c r="FJ39" s="184"/>
      <c r="FK39" s="184"/>
      <c r="FL39" s="184"/>
      <c r="FM39" s="184"/>
      <c r="FN39" s="184"/>
      <c r="FO39" s="184"/>
      <c r="FP39" s="184"/>
      <c r="FQ39" s="184"/>
      <c r="FR39" s="184"/>
      <c r="FS39" s="184"/>
      <c r="FT39" s="184"/>
      <c r="FU39" s="14"/>
      <c r="FV39" s="184"/>
      <c r="FW39" s="161"/>
      <c r="FX39" s="184"/>
      <c r="FY39" s="184"/>
      <c r="FZ39" s="184"/>
      <c r="GA39" s="184"/>
      <c r="GB39" s="185"/>
      <c r="GC39" s="184"/>
      <c r="GD39" s="184"/>
      <c r="GE39" s="184"/>
      <c r="GF39" s="184"/>
      <c r="GG39" s="184"/>
      <c r="GH39" s="184"/>
      <c r="GI39" s="184"/>
      <c r="GJ39" s="184"/>
      <c r="GK39" s="184"/>
      <c r="GL39" s="184"/>
      <c r="GM39" s="184"/>
      <c r="GN39" s="184"/>
      <c r="GO39" s="184"/>
      <c r="GP39" s="184"/>
      <c r="GQ39" s="184"/>
      <c r="GR39" s="184"/>
      <c r="GS39" s="184"/>
      <c r="GT39" s="184"/>
      <c r="GU39" s="184"/>
      <c r="GV39" s="184"/>
      <c r="GW39" s="184"/>
      <c r="GX39" s="184"/>
      <c r="GY39" s="184"/>
      <c r="GZ39" s="184"/>
      <c r="HA39" s="184"/>
    </row>
    <row r="40" ht="27.75" customHeight="1">
      <c r="A40" s="241"/>
      <c r="B40" s="242"/>
      <c r="C40" s="243">
        <v>1.0</v>
      </c>
      <c r="D40" s="56">
        <v>2.0</v>
      </c>
      <c r="E40" s="56">
        <v>3.0</v>
      </c>
      <c r="F40" s="56">
        <v>4.0</v>
      </c>
      <c r="G40" s="56">
        <v>5.0</v>
      </c>
      <c r="H40" s="56">
        <v>6.0</v>
      </c>
      <c r="I40" s="56">
        <v>7.0</v>
      </c>
      <c r="J40" s="56">
        <v>8.0</v>
      </c>
      <c r="K40" s="56">
        <v>9.0</v>
      </c>
      <c r="L40" s="56">
        <v>10.0</v>
      </c>
      <c r="M40" s="56">
        <v>11.0</v>
      </c>
      <c r="N40" s="56">
        <v>12.0</v>
      </c>
      <c r="O40" s="56">
        <v>13.0</v>
      </c>
      <c r="P40" s="56">
        <v>14.0</v>
      </c>
      <c r="Q40" s="56">
        <v>15.0</v>
      </c>
      <c r="R40" s="56">
        <v>16.0</v>
      </c>
      <c r="S40" s="56">
        <v>17.0</v>
      </c>
      <c r="T40" s="56">
        <v>18.0</v>
      </c>
      <c r="U40" s="56">
        <v>19.0</v>
      </c>
      <c r="V40" s="56">
        <v>20.0</v>
      </c>
      <c r="W40" s="56">
        <v>21.0</v>
      </c>
      <c r="X40" s="56">
        <v>22.0</v>
      </c>
      <c r="Y40" s="56">
        <v>23.0</v>
      </c>
      <c r="Z40" s="56">
        <v>24.0</v>
      </c>
      <c r="AA40" s="56">
        <v>25.0</v>
      </c>
      <c r="AB40" s="56">
        <v>26.0</v>
      </c>
      <c r="AC40" s="56">
        <v>27.0</v>
      </c>
      <c r="AD40" s="56">
        <v>28.0</v>
      </c>
      <c r="AE40" s="56">
        <v>29.0</v>
      </c>
      <c r="AF40" s="56">
        <v>30.0</v>
      </c>
      <c r="AG40" s="56">
        <v>31.0</v>
      </c>
      <c r="AH40" s="56">
        <v>1.0</v>
      </c>
      <c r="AI40" s="56">
        <v>2.0</v>
      </c>
      <c r="AJ40" s="56">
        <v>3.0</v>
      </c>
      <c r="AK40" s="56">
        <v>4.0</v>
      </c>
      <c r="AL40" s="56">
        <v>5.0</v>
      </c>
      <c r="AM40" s="56">
        <v>6.0</v>
      </c>
      <c r="AN40" s="56">
        <v>7.0</v>
      </c>
      <c r="AO40" s="56">
        <v>8.0</v>
      </c>
      <c r="AP40" s="56">
        <v>9.0</v>
      </c>
      <c r="AQ40" s="56">
        <v>10.0</v>
      </c>
      <c r="AR40" s="56">
        <v>11.0</v>
      </c>
      <c r="AS40" s="56">
        <v>12.0</v>
      </c>
      <c r="AT40" s="56">
        <v>13.0</v>
      </c>
      <c r="AU40" s="56">
        <v>14.0</v>
      </c>
      <c r="AV40" s="56">
        <v>15.0</v>
      </c>
      <c r="AW40" s="56">
        <v>16.0</v>
      </c>
      <c r="AX40" s="56">
        <v>17.0</v>
      </c>
      <c r="AY40" s="56">
        <v>18.0</v>
      </c>
      <c r="AZ40" s="56">
        <v>19.0</v>
      </c>
      <c r="BA40" s="56">
        <v>20.0</v>
      </c>
      <c r="BB40" s="56">
        <v>21.0</v>
      </c>
      <c r="BC40" s="56">
        <v>22.0</v>
      </c>
      <c r="BD40" s="56">
        <v>23.0</v>
      </c>
      <c r="BE40" s="56">
        <v>24.0</v>
      </c>
      <c r="BF40" s="56">
        <v>25.0</v>
      </c>
      <c r="BG40" s="56">
        <v>26.0</v>
      </c>
      <c r="BH40" s="56">
        <v>27.0</v>
      </c>
      <c r="BI40" s="56">
        <v>28.0</v>
      </c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244"/>
      <c r="CQ40" s="14"/>
      <c r="CR40" s="14"/>
      <c r="CS40" s="14"/>
      <c r="CT40" s="14"/>
      <c r="CU40" s="14"/>
      <c r="CV40" s="14"/>
      <c r="CW40" s="132" t="s">
        <v>48</v>
      </c>
      <c r="CX40" s="245" t="s">
        <v>123</v>
      </c>
      <c r="CY40" s="14"/>
      <c r="CZ40" s="246" t="s">
        <v>83</v>
      </c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94"/>
      <c r="EM40" s="94"/>
      <c r="EN40" s="94"/>
      <c r="EO40" s="94"/>
      <c r="EP40" s="94"/>
      <c r="EQ40" s="14"/>
      <c r="ER40" s="94"/>
      <c r="ES40" s="94"/>
      <c r="ET40" s="94"/>
      <c r="EU40" s="247"/>
      <c r="EV40" s="247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</row>
    <row r="41" ht="27.75" customHeight="1">
      <c r="A41" s="241"/>
      <c r="B41" s="153"/>
      <c r="C41" s="62" t="s">
        <v>39</v>
      </c>
      <c r="D41" s="62" t="s">
        <v>40</v>
      </c>
      <c r="E41" s="62" t="s">
        <v>41</v>
      </c>
      <c r="F41" s="62" t="s">
        <v>42</v>
      </c>
      <c r="G41" s="62" t="s">
        <v>43</v>
      </c>
      <c r="H41" s="62" t="s">
        <v>44</v>
      </c>
      <c r="I41" s="62" t="s">
        <v>38</v>
      </c>
      <c r="J41" s="62" t="s">
        <v>39</v>
      </c>
      <c r="K41" s="62" t="s">
        <v>40</v>
      </c>
      <c r="L41" s="62" t="s">
        <v>41</v>
      </c>
      <c r="M41" s="62" t="s">
        <v>42</v>
      </c>
      <c r="N41" s="62" t="s">
        <v>43</v>
      </c>
      <c r="O41" s="62" t="s">
        <v>44</v>
      </c>
      <c r="P41" s="62" t="s">
        <v>38</v>
      </c>
      <c r="Q41" s="62" t="s">
        <v>39</v>
      </c>
      <c r="R41" s="62" t="s">
        <v>40</v>
      </c>
      <c r="S41" s="62" t="s">
        <v>41</v>
      </c>
      <c r="T41" s="62" t="s">
        <v>42</v>
      </c>
      <c r="U41" s="62" t="s">
        <v>43</v>
      </c>
      <c r="V41" s="62" t="s">
        <v>44</v>
      </c>
      <c r="W41" s="62" t="s">
        <v>38</v>
      </c>
      <c r="X41" s="62" t="s">
        <v>39</v>
      </c>
      <c r="Y41" s="62" t="s">
        <v>40</v>
      </c>
      <c r="Z41" s="62" t="s">
        <v>41</v>
      </c>
      <c r="AA41" s="62" t="s">
        <v>42</v>
      </c>
      <c r="AB41" s="62" t="s">
        <v>43</v>
      </c>
      <c r="AC41" s="62" t="s">
        <v>44</v>
      </c>
      <c r="AD41" s="62" t="s">
        <v>38</v>
      </c>
      <c r="AE41" s="62" t="s">
        <v>39</v>
      </c>
      <c r="AF41" s="62" t="s">
        <v>40</v>
      </c>
      <c r="AG41" s="62" t="s">
        <v>41</v>
      </c>
      <c r="AH41" s="62" t="s">
        <v>42</v>
      </c>
      <c r="AI41" s="62" t="s">
        <v>43</v>
      </c>
      <c r="AJ41" s="62" t="s">
        <v>44</v>
      </c>
      <c r="AK41" s="62" t="s">
        <v>38</v>
      </c>
      <c r="AL41" s="62" t="s">
        <v>39</v>
      </c>
      <c r="AM41" s="62" t="s">
        <v>40</v>
      </c>
      <c r="AN41" s="62" t="s">
        <v>41</v>
      </c>
      <c r="AO41" s="62" t="s">
        <v>42</v>
      </c>
      <c r="AP41" s="62" t="s">
        <v>43</v>
      </c>
      <c r="AQ41" s="62" t="s">
        <v>44</v>
      </c>
      <c r="AR41" s="62" t="s">
        <v>38</v>
      </c>
      <c r="AS41" s="62" t="s">
        <v>39</v>
      </c>
      <c r="AT41" s="62" t="s">
        <v>40</v>
      </c>
      <c r="AU41" s="62" t="s">
        <v>41</v>
      </c>
      <c r="AV41" s="62" t="s">
        <v>42</v>
      </c>
      <c r="AW41" s="62" t="s">
        <v>43</v>
      </c>
      <c r="AX41" s="62" t="s">
        <v>44</v>
      </c>
      <c r="AY41" s="62" t="s">
        <v>38</v>
      </c>
      <c r="AZ41" s="62" t="s">
        <v>39</v>
      </c>
      <c r="BA41" s="62" t="s">
        <v>40</v>
      </c>
      <c r="BB41" s="62" t="s">
        <v>41</v>
      </c>
      <c r="BC41" s="62" t="s">
        <v>42</v>
      </c>
      <c r="BD41" s="62" t="s">
        <v>43</v>
      </c>
      <c r="BE41" s="62" t="s">
        <v>44</v>
      </c>
      <c r="BF41" s="62" t="s">
        <v>38</v>
      </c>
      <c r="BG41" s="62" t="s">
        <v>39</v>
      </c>
      <c r="BH41" s="62" t="s">
        <v>40</v>
      </c>
      <c r="BI41" s="62" t="s">
        <v>41</v>
      </c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244"/>
      <c r="CQ41" s="14"/>
      <c r="CR41" s="14"/>
      <c r="CS41" s="14"/>
      <c r="CT41" s="14"/>
      <c r="CU41" s="14"/>
      <c r="CV41" s="14"/>
      <c r="CW41" s="14"/>
      <c r="CX41" s="83" t="s">
        <v>124</v>
      </c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</row>
    <row r="42" ht="27.75" customHeight="1">
      <c r="A42" s="241"/>
      <c r="B42" s="68" t="s">
        <v>45</v>
      </c>
      <c r="C42" s="248"/>
      <c r="D42" s="71"/>
      <c r="E42" s="71"/>
      <c r="F42" s="84"/>
      <c r="G42" s="102"/>
      <c r="H42" s="72"/>
      <c r="I42" s="75"/>
      <c r="J42" s="75"/>
      <c r="K42" s="71"/>
      <c r="L42" s="71"/>
      <c r="M42" s="84"/>
      <c r="N42" s="84"/>
      <c r="O42" s="249"/>
      <c r="P42" s="84"/>
      <c r="Q42" s="80"/>
      <c r="R42" s="71"/>
      <c r="S42" s="71"/>
      <c r="T42" s="84"/>
      <c r="U42" s="84"/>
      <c r="V42" s="84"/>
      <c r="W42" s="84"/>
      <c r="X42" s="80"/>
      <c r="Y42" s="71"/>
      <c r="Z42" s="71"/>
      <c r="AA42" s="84"/>
      <c r="AB42" s="84"/>
      <c r="AC42" s="84"/>
      <c r="AD42" s="84"/>
      <c r="AE42" s="80"/>
      <c r="AF42" s="71"/>
      <c r="AG42" s="71"/>
      <c r="AH42" s="84"/>
      <c r="AI42" s="84"/>
      <c r="AJ42" s="84"/>
      <c r="AK42" s="84"/>
      <c r="AL42" s="80"/>
      <c r="AM42" s="71"/>
      <c r="AN42" s="71"/>
      <c r="AO42" s="84"/>
      <c r="AP42" s="84"/>
      <c r="AQ42" s="84"/>
      <c r="AR42" s="84"/>
      <c r="AS42" s="80"/>
      <c r="AT42" s="71"/>
      <c r="AU42" s="71"/>
      <c r="AV42" s="84"/>
      <c r="AW42" s="84"/>
      <c r="AX42" s="84"/>
      <c r="AY42" s="84"/>
      <c r="AZ42" s="80"/>
      <c r="BA42" s="71"/>
      <c r="BB42" s="71"/>
      <c r="BC42" s="84"/>
      <c r="BD42" s="84"/>
      <c r="BE42" s="84"/>
      <c r="BF42" s="84"/>
      <c r="BG42" s="80"/>
      <c r="BH42" s="71"/>
      <c r="BI42" s="71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83" t="s">
        <v>57</v>
      </c>
      <c r="CY42" s="250" t="s">
        <v>57</v>
      </c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</row>
    <row r="43" ht="27.75" customHeight="1">
      <c r="A43" s="241"/>
      <c r="B43" s="95" t="s">
        <v>59</v>
      </c>
      <c r="C43" s="251"/>
      <c r="D43" s="71"/>
      <c r="E43" s="71"/>
      <c r="F43" s="252" t="s">
        <v>58</v>
      </c>
      <c r="G43" s="252" t="s">
        <v>58</v>
      </c>
      <c r="H43" s="97"/>
      <c r="I43" s="252" t="s">
        <v>58</v>
      </c>
      <c r="J43" s="252" t="s">
        <v>58</v>
      </c>
      <c r="K43" s="71"/>
      <c r="L43" s="71"/>
      <c r="M43" s="84"/>
      <c r="N43" s="84"/>
      <c r="O43" s="84"/>
      <c r="P43" s="84"/>
      <c r="Q43" s="84"/>
      <c r="R43" s="71"/>
      <c r="S43" s="71"/>
      <c r="T43" s="84"/>
      <c r="U43" s="84"/>
      <c r="V43" s="84"/>
      <c r="W43" s="84"/>
      <c r="X43" s="84"/>
      <c r="Y43" s="71"/>
      <c r="Z43" s="71"/>
      <c r="AA43" s="84"/>
      <c r="AB43" s="84"/>
      <c r="AC43" s="84"/>
      <c r="AD43" s="84"/>
      <c r="AE43" s="84"/>
      <c r="AF43" s="71"/>
      <c r="AG43" s="71"/>
      <c r="AH43" s="84"/>
      <c r="AI43" s="84"/>
      <c r="AJ43" s="84"/>
      <c r="AK43" s="84"/>
      <c r="AL43" s="84"/>
      <c r="AM43" s="71"/>
      <c r="AN43" s="71"/>
      <c r="AO43" s="84"/>
      <c r="AP43" s="84"/>
      <c r="AQ43" s="84"/>
      <c r="AR43" s="84"/>
      <c r="AS43" s="84"/>
      <c r="AT43" s="71"/>
      <c r="AU43" s="71"/>
      <c r="AV43" s="84"/>
      <c r="AW43" s="84"/>
      <c r="AX43" s="80"/>
      <c r="AY43" s="80"/>
      <c r="AZ43" s="80"/>
      <c r="BA43" s="71"/>
      <c r="BB43" s="71"/>
      <c r="BC43" s="84"/>
      <c r="BD43" s="84"/>
      <c r="BE43" s="80"/>
      <c r="BF43" s="80"/>
      <c r="BG43" s="80"/>
      <c r="BH43" s="71"/>
      <c r="BI43" s="71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77" t="s">
        <v>51</v>
      </c>
      <c r="CX43" s="79" t="s">
        <v>51</v>
      </c>
      <c r="CY43" s="106" t="s">
        <v>68</v>
      </c>
      <c r="CZ43" s="14"/>
      <c r="DA43" s="14"/>
      <c r="DB43" s="200"/>
      <c r="DC43" s="200"/>
      <c r="DD43" s="200"/>
      <c r="DE43" s="200"/>
      <c r="DF43" s="200"/>
      <c r="DG43" s="247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</row>
    <row r="44" ht="27.75" customHeight="1">
      <c r="A44" s="241"/>
      <c r="B44" s="95" t="s">
        <v>61</v>
      </c>
      <c r="C44" s="251"/>
      <c r="D44" s="71"/>
      <c r="E44" s="71"/>
      <c r="F44" s="84"/>
      <c r="G44" s="80"/>
      <c r="H44" s="97"/>
      <c r="I44" s="84"/>
      <c r="J44" s="90"/>
      <c r="K44" s="71"/>
      <c r="L44" s="71"/>
      <c r="M44" s="84"/>
      <c r="N44" s="84"/>
      <c r="O44" s="249"/>
      <c r="P44" s="84"/>
      <c r="Q44" s="80"/>
      <c r="R44" s="71"/>
      <c r="S44" s="71"/>
      <c r="T44" s="84"/>
      <c r="U44" s="84"/>
      <c r="V44" s="84"/>
      <c r="W44" s="84"/>
      <c r="X44" s="80"/>
      <c r="Y44" s="71"/>
      <c r="Z44" s="71"/>
      <c r="AA44" s="84"/>
      <c r="AB44" s="84"/>
      <c r="AC44" s="84"/>
      <c r="AD44" s="84"/>
      <c r="AE44" s="80"/>
      <c r="AF44" s="71"/>
      <c r="AG44" s="71"/>
      <c r="AH44" s="84"/>
      <c r="AI44" s="84"/>
      <c r="AJ44" s="84"/>
      <c r="AK44" s="84"/>
      <c r="AL44" s="80"/>
      <c r="AM44" s="71"/>
      <c r="AN44" s="71"/>
      <c r="AO44" s="84"/>
      <c r="AP44" s="84"/>
      <c r="AQ44" s="84"/>
      <c r="AR44" s="84"/>
      <c r="AS44" s="80"/>
      <c r="AT44" s="71"/>
      <c r="AU44" s="71"/>
      <c r="AV44" s="84"/>
      <c r="AW44" s="84"/>
      <c r="AX44" s="84"/>
      <c r="AY44" s="84"/>
      <c r="AZ44" s="80"/>
      <c r="BA44" s="71"/>
      <c r="BB44" s="71"/>
      <c r="BC44" s="84"/>
      <c r="BD44" s="84"/>
      <c r="BE44" s="84"/>
      <c r="BF44" s="84"/>
      <c r="BG44" s="80"/>
      <c r="BH44" s="71"/>
      <c r="BI44" s="71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253" t="s">
        <v>125</v>
      </c>
      <c r="CY44" s="14"/>
      <c r="CZ44" s="14"/>
      <c r="DA44" s="14"/>
      <c r="DB44" s="14"/>
      <c r="DC44" s="14"/>
      <c r="DD44" s="14"/>
      <c r="DE44" s="14"/>
      <c r="DF44" s="14"/>
      <c r="DG44" s="14"/>
      <c r="DH44" s="200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</row>
    <row r="45" ht="27.75" customHeight="1">
      <c r="A45" s="241"/>
      <c r="B45" s="61" t="s">
        <v>67</v>
      </c>
      <c r="C45" s="251"/>
      <c r="D45" s="71"/>
      <c r="E45" s="71"/>
      <c r="F45" s="84"/>
      <c r="G45" s="119"/>
      <c r="H45" s="97"/>
      <c r="I45" s="84"/>
      <c r="J45" s="80"/>
      <c r="K45" s="71"/>
      <c r="L45" s="71"/>
      <c r="M45" s="84"/>
      <c r="N45" s="84"/>
      <c r="O45" s="249"/>
      <c r="P45" s="84"/>
      <c r="Q45" s="80"/>
      <c r="R45" s="71"/>
      <c r="S45" s="71"/>
      <c r="T45" s="84"/>
      <c r="U45" s="84"/>
      <c r="V45" s="84"/>
      <c r="W45" s="84"/>
      <c r="X45" s="80"/>
      <c r="Y45" s="71"/>
      <c r="Z45" s="71"/>
      <c r="AA45" s="84"/>
      <c r="AB45" s="84"/>
      <c r="AC45" s="84"/>
      <c r="AD45" s="84"/>
      <c r="AE45" s="80"/>
      <c r="AF45" s="71"/>
      <c r="AG45" s="71"/>
      <c r="AH45" s="84"/>
      <c r="AI45" s="84"/>
      <c r="AJ45" s="84"/>
      <c r="AK45" s="84"/>
      <c r="AL45" s="80"/>
      <c r="AM45" s="71"/>
      <c r="AN45" s="71"/>
      <c r="AO45" s="84"/>
      <c r="AP45" s="84"/>
      <c r="AQ45" s="84"/>
      <c r="AR45" s="84"/>
      <c r="AS45" s="80"/>
      <c r="AT45" s="71"/>
      <c r="AU45" s="71"/>
      <c r="AV45" s="84"/>
      <c r="AW45" s="84"/>
      <c r="AX45" s="84"/>
      <c r="AY45" s="84"/>
      <c r="AZ45" s="80"/>
      <c r="BA45" s="71"/>
      <c r="BB45" s="71"/>
      <c r="BC45" s="84"/>
      <c r="BD45" s="84"/>
      <c r="BE45" s="84"/>
      <c r="BF45" s="84"/>
      <c r="BG45" s="80"/>
      <c r="BH45" s="71"/>
      <c r="BI45" s="71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254" t="s">
        <v>126</v>
      </c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</row>
    <row r="46" ht="27.75" customHeight="1">
      <c r="A46" s="241"/>
      <c r="B46" s="95" t="s">
        <v>69</v>
      </c>
      <c r="C46" s="251"/>
      <c r="D46" s="71"/>
      <c r="E46" s="71"/>
      <c r="F46" s="252" t="s">
        <v>58</v>
      </c>
      <c r="G46" s="252" t="s">
        <v>58</v>
      </c>
      <c r="H46" s="97"/>
      <c r="I46" s="252" t="s">
        <v>58</v>
      </c>
      <c r="J46" s="252" t="s">
        <v>58</v>
      </c>
      <c r="K46" s="71"/>
      <c r="L46" s="71"/>
      <c r="M46" s="84"/>
      <c r="N46" s="84"/>
      <c r="O46" s="75"/>
      <c r="P46" s="75"/>
      <c r="Q46" s="75"/>
      <c r="R46" s="71"/>
      <c r="S46" s="71"/>
      <c r="T46" s="84"/>
      <c r="U46" s="84"/>
      <c r="V46" s="114"/>
      <c r="W46" s="114"/>
      <c r="X46" s="80"/>
      <c r="Y46" s="71"/>
      <c r="Z46" s="71"/>
      <c r="AA46" s="84"/>
      <c r="AB46" s="84"/>
      <c r="AC46" s="114"/>
      <c r="AD46" s="114"/>
      <c r="AE46" s="80"/>
      <c r="AF46" s="71"/>
      <c r="AG46" s="71"/>
      <c r="AH46" s="84"/>
      <c r="AI46" s="84"/>
      <c r="AJ46" s="114"/>
      <c r="AK46" s="114"/>
      <c r="AL46" s="80"/>
      <c r="AM46" s="71"/>
      <c r="AN46" s="71"/>
      <c r="AO46" s="84"/>
      <c r="AP46" s="84"/>
      <c r="AQ46" s="114"/>
      <c r="AR46" s="114"/>
      <c r="AS46" s="80"/>
      <c r="AT46" s="71"/>
      <c r="AU46" s="71"/>
      <c r="AV46" s="84"/>
      <c r="AW46" s="84"/>
      <c r="AX46" s="114"/>
      <c r="AY46" s="114"/>
      <c r="AZ46" s="80"/>
      <c r="BA46" s="71"/>
      <c r="BB46" s="71"/>
      <c r="BC46" s="84"/>
      <c r="BD46" s="84"/>
      <c r="BE46" s="114"/>
      <c r="BF46" s="114"/>
      <c r="BG46" s="80"/>
      <c r="BH46" s="71"/>
      <c r="BI46" s="71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82" t="s">
        <v>55</v>
      </c>
      <c r="CY46" s="65" t="s">
        <v>44</v>
      </c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</row>
    <row r="47" ht="27.75" customHeight="1">
      <c r="A47" s="255"/>
      <c r="B47" s="95" t="s">
        <v>72</v>
      </c>
      <c r="C47" s="251"/>
      <c r="D47" s="71"/>
      <c r="E47" s="71"/>
      <c r="F47" s="114"/>
      <c r="G47" s="102"/>
      <c r="H47" s="97"/>
      <c r="I47" s="84"/>
      <c r="J47" s="80"/>
      <c r="K47" s="71"/>
      <c r="L47" s="203"/>
      <c r="M47" s="114"/>
      <c r="N47" s="114"/>
      <c r="O47" s="249"/>
      <c r="P47" s="117"/>
      <c r="Q47" s="80"/>
      <c r="R47" s="71"/>
      <c r="S47" s="71"/>
      <c r="T47" s="114"/>
      <c r="U47" s="114"/>
      <c r="V47" s="117"/>
      <c r="W47" s="117"/>
      <c r="X47" s="80"/>
      <c r="Y47" s="71"/>
      <c r="Z47" s="71"/>
      <c r="AA47" s="114"/>
      <c r="AB47" s="114"/>
      <c r="AC47" s="117"/>
      <c r="AD47" s="117"/>
      <c r="AE47" s="80"/>
      <c r="AF47" s="71"/>
      <c r="AG47" s="71"/>
      <c r="AH47" s="114"/>
      <c r="AI47" s="114"/>
      <c r="AJ47" s="117"/>
      <c r="AK47" s="117"/>
      <c r="AL47" s="80"/>
      <c r="AM47" s="71"/>
      <c r="AN47" s="71"/>
      <c r="AO47" s="114"/>
      <c r="AP47" s="114"/>
      <c r="AQ47" s="117"/>
      <c r="AR47" s="117"/>
      <c r="AS47" s="80"/>
      <c r="AT47" s="71"/>
      <c r="AU47" s="71"/>
      <c r="AV47" s="114"/>
      <c r="AW47" s="114"/>
      <c r="AX47" s="117"/>
      <c r="AY47" s="117"/>
      <c r="AZ47" s="80"/>
      <c r="BA47" s="71"/>
      <c r="BB47" s="71"/>
      <c r="BC47" s="114"/>
      <c r="BD47" s="114"/>
      <c r="BE47" s="117"/>
      <c r="BF47" s="117"/>
      <c r="BG47" s="80"/>
      <c r="BH47" s="71"/>
      <c r="BI47" s="71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89" t="s">
        <v>58</v>
      </c>
      <c r="CX47" s="89" t="s">
        <v>127</v>
      </c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</row>
    <row r="48" ht="27.75" customHeight="1">
      <c r="A48" s="241"/>
      <c r="B48" s="61" t="s">
        <v>74</v>
      </c>
      <c r="C48" s="251"/>
      <c r="D48" s="71"/>
      <c r="E48" s="71"/>
      <c r="F48" s="84"/>
      <c r="G48" s="119"/>
      <c r="H48" s="97"/>
      <c r="I48" s="90"/>
      <c r="J48" s="90"/>
      <c r="K48" s="71"/>
      <c r="L48" s="71"/>
      <c r="M48" s="84"/>
      <c r="N48" s="114"/>
      <c r="O48" s="75"/>
      <c r="P48" s="75"/>
      <c r="Q48" s="75"/>
      <c r="R48" s="71"/>
      <c r="S48" s="71"/>
      <c r="T48" s="84"/>
      <c r="U48" s="114"/>
      <c r="V48" s="84"/>
      <c r="W48" s="84"/>
      <c r="X48" s="80"/>
      <c r="Y48" s="71"/>
      <c r="Z48" s="71"/>
      <c r="AA48" s="84"/>
      <c r="AB48" s="114"/>
      <c r="AC48" s="84"/>
      <c r="AD48" s="84"/>
      <c r="AE48" s="80"/>
      <c r="AF48" s="71"/>
      <c r="AG48" s="71"/>
      <c r="AH48" s="84"/>
      <c r="AI48" s="114"/>
      <c r="AJ48" s="84"/>
      <c r="AK48" s="84"/>
      <c r="AL48" s="80"/>
      <c r="AM48" s="71"/>
      <c r="AN48" s="71"/>
      <c r="AO48" s="84"/>
      <c r="AP48" s="114"/>
      <c r="AQ48" s="84"/>
      <c r="AR48" s="84"/>
      <c r="AS48" s="80"/>
      <c r="AT48" s="71"/>
      <c r="AU48" s="71"/>
      <c r="AV48" s="84"/>
      <c r="AW48" s="114"/>
      <c r="AX48" s="204"/>
      <c r="AY48" s="90"/>
      <c r="AZ48" s="90"/>
      <c r="BA48" s="71"/>
      <c r="BB48" s="71"/>
      <c r="BC48" s="84"/>
      <c r="BD48" s="84"/>
      <c r="BE48" s="102"/>
      <c r="BF48" s="102"/>
      <c r="BG48" s="102"/>
      <c r="BH48" s="71"/>
      <c r="BI48" s="71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256"/>
      <c r="CX48" s="256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</row>
    <row r="49" ht="27.75" customHeight="1">
      <c r="A49" s="241"/>
      <c r="B49" s="61" t="s">
        <v>77</v>
      </c>
      <c r="C49" s="251"/>
      <c r="D49" s="71"/>
      <c r="E49" s="71"/>
      <c r="F49" s="257" t="s">
        <v>58</v>
      </c>
      <c r="G49" s="257" t="s">
        <v>58</v>
      </c>
      <c r="H49" s="97"/>
      <c r="I49" s="257" t="s">
        <v>58</v>
      </c>
      <c r="J49" s="257" t="s">
        <v>58</v>
      </c>
      <c r="K49" s="71"/>
      <c r="L49" s="71"/>
      <c r="M49" s="84"/>
      <c r="N49" s="117"/>
      <c r="O49" s="249"/>
      <c r="P49" s="84"/>
      <c r="Q49" s="80"/>
      <c r="R49" s="71"/>
      <c r="S49" s="71"/>
      <c r="T49" s="84"/>
      <c r="U49" s="117"/>
      <c r="V49" s="84"/>
      <c r="W49" s="84"/>
      <c r="X49" s="80"/>
      <c r="Y49" s="71"/>
      <c r="Z49" s="71"/>
      <c r="AA49" s="84"/>
      <c r="AB49" s="117"/>
      <c r="AC49" s="84"/>
      <c r="AD49" s="84"/>
      <c r="AE49" s="80"/>
      <c r="AF49" s="71"/>
      <c r="AG49" s="71"/>
      <c r="AH49" s="84"/>
      <c r="AI49" s="117"/>
      <c r="AJ49" s="84"/>
      <c r="AK49" s="84"/>
      <c r="AL49" s="80"/>
      <c r="AM49" s="71"/>
      <c r="AN49" s="71"/>
      <c r="AO49" s="84"/>
      <c r="AP49" s="117"/>
      <c r="AQ49" s="84"/>
      <c r="AR49" s="84"/>
      <c r="AS49" s="80"/>
      <c r="AT49" s="71"/>
      <c r="AU49" s="71"/>
      <c r="AV49" s="84"/>
      <c r="AW49" s="117"/>
      <c r="AX49" s="84"/>
      <c r="AY49" s="84"/>
      <c r="AZ49" s="80"/>
      <c r="BA49" s="71"/>
      <c r="BB49" s="71"/>
      <c r="BC49" s="84"/>
      <c r="BD49" s="117"/>
      <c r="BE49" s="84"/>
      <c r="BF49" s="84"/>
      <c r="BG49" s="80"/>
      <c r="BH49" s="71"/>
      <c r="BI49" s="71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258" t="s">
        <v>40</v>
      </c>
      <c r="CX49" s="259" t="s">
        <v>39</v>
      </c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</row>
    <row r="50" ht="27.75" customHeight="1">
      <c r="A50" s="241"/>
      <c r="B50" s="122" t="s">
        <v>80</v>
      </c>
      <c r="C50" s="251"/>
      <c r="D50" s="124"/>
      <c r="E50" s="125"/>
      <c r="F50" s="257" t="s">
        <v>58</v>
      </c>
      <c r="G50" s="257" t="s">
        <v>58</v>
      </c>
      <c r="H50" s="97"/>
      <c r="I50" s="257" t="s">
        <v>58</v>
      </c>
      <c r="J50" s="257" t="s">
        <v>58</v>
      </c>
      <c r="K50" s="124"/>
      <c r="L50" s="125"/>
      <c r="M50" s="133"/>
      <c r="N50" s="133"/>
      <c r="O50" s="260"/>
      <c r="P50" s="133"/>
      <c r="Q50" s="261"/>
      <c r="R50" s="124"/>
      <c r="S50" s="124"/>
      <c r="T50" s="133"/>
      <c r="U50" s="133"/>
      <c r="V50" s="133"/>
      <c r="W50" s="133"/>
      <c r="X50" s="261"/>
      <c r="Y50" s="124"/>
      <c r="Z50" s="124"/>
      <c r="AA50" s="133"/>
      <c r="AB50" s="133"/>
      <c r="AC50" s="133"/>
      <c r="AD50" s="133"/>
      <c r="AE50" s="261"/>
      <c r="AF50" s="124"/>
      <c r="AG50" s="124"/>
      <c r="AH50" s="133"/>
      <c r="AI50" s="133"/>
      <c r="AJ50" s="133"/>
      <c r="AK50" s="133"/>
      <c r="AL50" s="261"/>
      <c r="AM50" s="124"/>
      <c r="AN50" s="124"/>
      <c r="AO50" s="133"/>
      <c r="AP50" s="133"/>
      <c r="AQ50" s="133"/>
      <c r="AR50" s="133"/>
      <c r="AS50" s="261"/>
      <c r="AT50" s="124"/>
      <c r="AU50" s="124"/>
      <c r="AV50" s="133"/>
      <c r="AW50" s="133"/>
      <c r="AX50" s="133"/>
      <c r="AY50" s="133"/>
      <c r="AZ50" s="261"/>
      <c r="BA50" s="124"/>
      <c r="BB50" s="124"/>
      <c r="BC50" s="133"/>
      <c r="BD50" s="133"/>
      <c r="BE50" s="133"/>
      <c r="BF50" s="133"/>
      <c r="BG50" s="261"/>
      <c r="BH50" s="124"/>
      <c r="BI50" s="12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262" t="s">
        <v>128</v>
      </c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</row>
    <row r="51" ht="27.75" customHeight="1">
      <c r="A51" s="241"/>
      <c r="B51" s="141" t="s">
        <v>84</v>
      </c>
      <c r="C51" s="251"/>
      <c r="D51" s="143"/>
      <c r="E51" s="71"/>
      <c r="F51" s="84"/>
      <c r="G51" s="215"/>
      <c r="H51" s="97"/>
      <c r="I51" s="263"/>
      <c r="J51" s="215"/>
      <c r="K51" s="71"/>
      <c r="L51" s="71"/>
      <c r="M51" s="264"/>
      <c r="N51" s="214"/>
      <c r="O51" s="265"/>
      <c r="P51" s="214"/>
      <c r="Q51" s="266"/>
      <c r="R51" s="71"/>
      <c r="S51" s="71"/>
      <c r="T51" s="214"/>
      <c r="U51" s="214"/>
      <c r="V51" s="214"/>
      <c r="W51" s="214"/>
      <c r="X51" s="266"/>
      <c r="Y51" s="71"/>
      <c r="Z51" s="71"/>
      <c r="AA51" s="214"/>
      <c r="AB51" s="214"/>
      <c r="AC51" s="214"/>
      <c r="AD51" s="214"/>
      <c r="AE51" s="266"/>
      <c r="AF51" s="71"/>
      <c r="AG51" s="71"/>
      <c r="AH51" s="214"/>
      <c r="AI51" s="214"/>
      <c r="AJ51" s="214"/>
      <c r="AK51" s="214"/>
      <c r="AL51" s="266"/>
      <c r="AM51" s="71"/>
      <c r="AN51" s="71"/>
      <c r="AO51" s="214"/>
      <c r="AP51" s="214"/>
      <c r="AQ51" s="214"/>
      <c r="AR51" s="214"/>
      <c r="AS51" s="266"/>
      <c r="AT51" s="71"/>
      <c r="AU51" s="71"/>
      <c r="AV51" s="214"/>
      <c r="AW51" s="214"/>
      <c r="AX51" s="214"/>
      <c r="AY51" s="214"/>
      <c r="AZ51" s="266"/>
      <c r="BA51" s="71"/>
      <c r="BB51" s="71"/>
      <c r="BC51" s="214"/>
      <c r="BD51" s="214"/>
      <c r="BE51" s="214"/>
      <c r="BF51" s="214"/>
      <c r="BG51" s="266"/>
      <c r="BH51" s="71"/>
      <c r="BI51" s="71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267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  <c r="GD51" s="14"/>
      <c r="GE51" s="14"/>
      <c r="GF51" s="14"/>
      <c r="GG51" s="14"/>
      <c r="GH51" s="14"/>
      <c r="GI51" s="14"/>
      <c r="GJ51" s="14"/>
      <c r="GK51" s="14"/>
      <c r="GL51" s="14"/>
      <c r="GM51" s="14"/>
      <c r="GN51" s="14"/>
      <c r="GO51" s="14"/>
      <c r="GP51" s="14"/>
      <c r="GQ51" s="14"/>
      <c r="GR51" s="14"/>
      <c r="GS51" s="14"/>
      <c r="GT51" s="14"/>
      <c r="GU51" s="14"/>
      <c r="GV51" s="14"/>
      <c r="GW51" s="14"/>
      <c r="GX51" s="14"/>
      <c r="GY51" s="14"/>
      <c r="GZ51" s="14"/>
      <c r="HA51" s="14"/>
    </row>
    <row r="52" ht="27.75" customHeight="1">
      <c r="A52" s="241"/>
      <c r="B52" s="144" t="s">
        <v>85</v>
      </c>
      <c r="C52" s="251"/>
      <c r="D52" s="71"/>
      <c r="E52" s="71"/>
      <c r="F52" s="84"/>
      <c r="G52" s="80"/>
      <c r="H52" s="97"/>
      <c r="I52" s="212"/>
      <c r="J52" s="80"/>
      <c r="K52" s="71"/>
      <c r="L52" s="71"/>
      <c r="M52" s="84"/>
      <c r="N52" s="84"/>
      <c r="O52" s="249"/>
      <c r="P52" s="84"/>
      <c r="Q52" s="80"/>
      <c r="R52" s="71"/>
      <c r="S52" s="71"/>
      <c r="T52" s="84"/>
      <c r="U52" s="84"/>
      <c r="V52" s="84"/>
      <c r="W52" s="84"/>
      <c r="X52" s="80"/>
      <c r="Y52" s="71"/>
      <c r="Z52" s="71"/>
      <c r="AA52" s="84"/>
      <c r="AB52" s="84"/>
      <c r="AC52" s="84"/>
      <c r="AD52" s="84"/>
      <c r="AE52" s="80"/>
      <c r="AF52" s="71"/>
      <c r="AG52" s="71"/>
      <c r="AH52" s="84"/>
      <c r="AI52" s="84"/>
      <c r="AJ52" s="84"/>
      <c r="AK52" s="84"/>
      <c r="AL52" s="80"/>
      <c r="AM52" s="71"/>
      <c r="AN52" s="71"/>
      <c r="AO52" s="84"/>
      <c r="AP52" s="84"/>
      <c r="AQ52" s="84"/>
      <c r="AR52" s="84"/>
      <c r="AS52" s="80"/>
      <c r="AT52" s="71"/>
      <c r="AU52" s="71"/>
      <c r="AV52" s="84"/>
      <c r="AW52" s="84"/>
      <c r="AX52" s="84"/>
      <c r="AY52" s="84"/>
      <c r="AZ52" s="80"/>
      <c r="BA52" s="71"/>
      <c r="BB52" s="71"/>
      <c r="BC52" s="84"/>
      <c r="BD52" s="84"/>
      <c r="BE52" s="84"/>
      <c r="BF52" s="84"/>
      <c r="BG52" s="80"/>
      <c r="BH52" s="71"/>
      <c r="BI52" s="71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268" t="s">
        <v>129</v>
      </c>
      <c r="CY52" s="268" t="s">
        <v>130</v>
      </c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  <c r="GB52" s="14"/>
      <c r="GC52" s="14"/>
      <c r="GD52" s="14"/>
      <c r="GE52" s="14"/>
      <c r="GF52" s="14"/>
      <c r="GG52" s="14"/>
      <c r="GH52" s="14"/>
      <c r="GI52" s="14"/>
      <c r="GJ52" s="14"/>
      <c r="GK52" s="14"/>
      <c r="GL52" s="14"/>
      <c r="GM52" s="14"/>
      <c r="GN52" s="14"/>
      <c r="GO52" s="14"/>
      <c r="GP52" s="14"/>
      <c r="GQ52" s="14"/>
      <c r="GR52" s="14"/>
      <c r="GS52" s="14"/>
      <c r="GT52" s="14"/>
      <c r="GU52" s="14"/>
      <c r="GV52" s="14"/>
      <c r="GW52" s="14"/>
      <c r="GX52" s="14"/>
      <c r="GY52" s="14"/>
      <c r="GZ52" s="14"/>
      <c r="HA52" s="14"/>
    </row>
    <row r="53" ht="27.75" customHeight="1">
      <c r="A53" s="241"/>
      <c r="B53" s="150" t="s">
        <v>86</v>
      </c>
      <c r="C53" s="269"/>
      <c r="D53" s="71"/>
      <c r="E53" s="71"/>
      <c r="F53" s="270"/>
      <c r="G53" s="271"/>
      <c r="H53" s="156"/>
      <c r="I53" s="146"/>
      <c r="J53" s="271"/>
      <c r="K53" s="71"/>
      <c r="L53" s="272"/>
      <c r="M53" s="270"/>
      <c r="N53" s="270"/>
      <c r="O53" s="273"/>
      <c r="P53" s="270"/>
      <c r="Q53" s="274"/>
      <c r="R53" s="71"/>
      <c r="S53" s="71"/>
      <c r="T53" s="270"/>
      <c r="U53" s="270"/>
      <c r="V53" s="270"/>
      <c r="W53" s="270"/>
      <c r="X53" s="271"/>
      <c r="Y53" s="71"/>
      <c r="Z53" s="71"/>
      <c r="AA53" s="270"/>
      <c r="AB53" s="270"/>
      <c r="AC53" s="270"/>
      <c r="AD53" s="270"/>
      <c r="AE53" s="271"/>
      <c r="AF53" s="71"/>
      <c r="AG53" s="71"/>
      <c r="AH53" s="270"/>
      <c r="AI53" s="270"/>
      <c r="AJ53" s="270"/>
      <c r="AK53" s="270"/>
      <c r="AL53" s="271"/>
      <c r="AM53" s="71"/>
      <c r="AN53" s="71"/>
      <c r="AO53" s="270"/>
      <c r="AP53" s="270"/>
      <c r="AQ53" s="270"/>
      <c r="AR53" s="270"/>
      <c r="AS53" s="271"/>
      <c r="AT53" s="71"/>
      <c r="AU53" s="71"/>
      <c r="AV53" s="270"/>
      <c r="AW53" s="270"/>
      <c r="AX53" s="270"/>
      <c r="AY53" s="270"/>
      <c r="AZ53" s="271"/>
      <c r="BA53" s="71"/>
      <c r="BB53" s="71"/>
      <c r="BC53" s="270"/>
      <c r="BD53" s="270"/>
      <c r="BE53" s="270"/>
      <c r="BF53" s="270"/>
      <c r="BG53" s="271"/>
      <c r="BH53" s="71"/>
      <c r="BI53" s="71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04" t="s">
        <v>131</v>
      </c>
      <c r="CW53" s="104" t="s">
        <v>132</v>
      </c>
      <c r="CX53" s="116" t="s">
        <v>133</v>
      </c>
      <c r="CY53" s="14"/>
      <c r="CZ53" s="140"/>
      <c r="DA53" s="140"/>
      <c r="DB53" s="140"/>
      <c r="DC53" s="161"/>
      <c r="DD53" s="233"/>
      <c r="DE53" s="233"/>
      <c r="DF53" s="233"/>
      <c r="DG53" s="233"/>
      <c r="DH53" s="233"/>
      <c r="DI53" s="275"/>
      <c r="DJ53" s="161"/>
      <c r="DK53" s="161"/>
      <c r="DL53" s="140"/>
      <c r="DM53" s="140"/>
      <c r="DN53" s="140"/>
      <c r="DO53" s="140"/>
      <c r="DP53" s="140"/>
      <c r="DQ53" s="161"/>
      <c r="DR53" s="161"/>
      <c r="DS53" s="140"/>
      <c r="DT53" s="140"/>
      <c r="DU53" s="140"/>
      <c r="DV53" s="140"/>
      <c r="DW53" s="140"/>
      <c r="DX53" s="161"/>
      <c r="DY53" s="161"/>
      <c r="DZ53" s="140"/>
      <c r="EA53" s="140"/>
      <c r="EB53" s="140"/>
      <c r="EC53" s="140"/>
      <c r="ED53" s="140"/>
      <c r="EE53" s="161"/>
      <c r="EF53" s="161"/>
      <c r="EG53" s="140"/>
      <c r="EH53" s="140"/>
      <c r="EI53" s="140"/>
      <c r="EJ53" s="140"/>
      <c r="EK53" s="140"/>
      <c r="EL53" s="161"/>
      <c r="EM53" s="161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31"/>
      <c r="FA53" s="31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14"/>
      <c r="FU53" s="14"/>
      <c r="FV53" s="14"/>
      <c r="FW53" s="14"/>
      <c r="FX53" s="14"/>
      <c r="FY53" s="14"/>
      <c r="FZ53" s="14"/>
      <c r="GA53" s="14"/>
      <c r="GB53" s="31"/>
      <c r="GC53" s="14"/>
      <c r="GD53" s="14"/>
      <c r="GE53" s="14"/>
      <c r="GF53" s="14"/>
      <c r="GG53" s="14"/>
      <c r="GH53" s="14"/>
      <c r="GI53" s="14"/>
      <c r="GJ53" s="14"/>
      <c r="GK53" s="14"/>
      <c r="GL53" s="14"/>
      <c r="GM53" s="14"/>
      <c r="GN53" s="14"/>
      <c r="GO53" s="14"/>
      <c r="GP53" s="14"/>
      <c r="GQ53" s="14"/>
      <c r="GR53" s="14"/>
      <c r="GS53" s="14"/>
      <c r="GT53" s="14"/>
      <c r="GU53" s="14"/>
      <c r="GV53" s="14"/>
      <c r="GW53" s="14"/>
      <c r="GX53" s="14"/>
      <c r="GY53" s="14"/>
      <c r="GZ53" s="14"/>
      <c r="HA53" s="14"/>
    </row>
    <row r="54" ht="18.0" customHeight="1">
      <c r="A54" s="1"/>
      <c r="B54" s="276"/>
      <c r="C54" s="277"/>
      <c r="D54" s="278"/>
      <c r="E54" s="278"/>
      <c r="F54" s="278"/>
      <c r="G54" s="278"/>
      <c r="H54" s="278"/>
      <c r="I54" s="278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278"/>
      <c r="AB54" s="278"/>
      <c r="AC54" s="278"/>
      <c r="AD54" s="278"/>
      <c r="AE54" s="278"/>
      <c r="AF54" s="278"/>
      <c r="AG54" s="279"/>
      <c r="AH54" s="278"/>
      <c r="AI54" s="278"/>
      <c r="AJ54" s="278"/>
      <c r="AK54" s="278"/>
      <c r="AL54" s="278"/>
      <c r="AM54" s="278"/>
      <c r="AN54" s="278"/>
      <c r="AO54" s="278"/>
      <c r="AP54" s="278"/>
      <c r="AQ54" s="278"/>
      <c r="AR54" s="278"/>
      <c r="AS54" s="278"/>
      <c r="AT54" s="278"/>
      <c r="AU54" s="278"/>
      <c r="AV54" s="278"/>
      <c r="AW54" s="278"/>
      <c r="AX54" s="278"/>
      <c r="AY54" s="278"/>
      <c r="AZ54" s="278"/>
      <c r="BA54" s="278"/>
      <c r="BB54" s="278"/>
      <c r="BC54" s="278"/>
      <c r="BD54" s="278"/>
      <c r="BE54" s="278"/>
      <c r="BF54" s="278"/>
      <c r="BG54" s="278"/>
      <c r="BH54" s="278"/>
      <c r="BI54" s="279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31"/>
      <c r="FA54" s="31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  <c r="GB54" s="31"/>
      <c r="GC54" s="14"/>
      <c r="GD54" s="14"/>
      <c r="GE54" s="14"/>
      <c r="GF54" s="14"/>
      <c r="GG54" s="14"/>
      <c r="GH54" s="14"/>
      <c r="GI54" s="14"/>
      <c r="GJ54" s="14"/>
      <c r="GK54" s="14"/>
      <c r="GL54" s="14"/>
      <c r="GM54" s="14"/>
      <c r="GN54" s="14"/>
      <c r="GO54" s="14"/>
      <c r="GP54" s="14"/>
      <c r="GQ54" s="14"/>
      <c r="GR54" s="14"/>
      <c r="GS54" s="14"/>
      <c r="GT54" s="14"/>
      <c r="GU54" s="14"/>
      <c r="GV54" s="14"/>
      <c r="GW54" s="14"/>
      <c r="GX54" s="14"/>
      <c r="GY54" s="14"/>
      <c r="GZ54" s="14"/>
      <c r="HA54" s="14"/>
    </row>
    <row r="55" ht="30.0" customHeight="1">
      <c r="A55" s="1"/>
      <c r="B55" s="280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281"/>
      <c r="AI55" s="281"/>
      <c r="AJ55" s="281"/>
      <c r="AK55" s="281"/>
      <c r="AL55" s="281"/>
      <c r="AM55" s="281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282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31"/>
      <c r="FA55" s="31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  <c r="FW55" s="14"/>
      <c r="FX55" s="14"/>
      <c r="FY55" s="14"/>
      <c r="FZ55" s="14"/>
      <c r="GA55" s="14"/>
      <c r="GB55" s="31"/>
      <c r="GC55" s="14"/>
      <c r="GD55" s="14"/>
      <c r="GE55" s="14"/>
      <c r="GF55" s="14"/>
      <c r="GG55" s="14"/>
      <c r="GH55" s="14"/>
      <c r="GI55" s="14"/>
      <c r="GJ55" s="14"/>
      <c r="GK55" s="14"/>
      <c r="GL55" s="14"/>
      <c r="GM55" s="14"/>
      <c r="GN55" s="14"/>
      <c r="GO55" s="14"/>
      <c r="GP55" s="14"/>
      <c r="GQ55" s="14"/>
      <c r="GR55" s="14"/>
      <c r="GS55" s="14"/>
      <c r="GT55" s="14"/>
      <c r="GU55" s="14"/>
      <c r="GV55" s="14"/>
      <c r="GW55" s="14"/>
      <c r="GX55" s="14"/>
      <c r="GY55" s="14"/>
      <c r="GZ55" s="14"/>
      <c r="HA55" s="14"/>
    </row>
    <row r="56" ht="18.0" customHeight="1">
      <c r="A56" s="179"/>
      <c r="B56" s="282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184"/>
      <c r="AR56" s="184"/>
      <c r="AS56" s="184"/>
      <c r="AT56" s="184"/>
      <c r="AU56" s="184"/>
      <c r="AV56" s="184"/>
      <c r="AW56" s="184"/>
      <c r="AX56" s="184"/>
      <c r="AY56" s="184"/>
      <c r="AZ56" s="184"/>
      <c r="BA56" s="184"/>
      <c r="BB56" s="184"/>
      <c r="BC56" s="184"/>
      <c r="BD56" s="184"/>
      <c r="BE56" s="184"/>
      <c r="BF56" s="184"/>
      <c r="BG56" s="184"/>
      <c r="BH56" s="184"/>
      <c r="BI56" s="184"/>
      <c r="BJ56" s="184"/>
      <c r="BK56" s="184"/>
      <c r="BL56" s="184"/>
      <c r="BM56" s="282"/>
      <c r="BN56" s="184"/>
      <c r="BO56" s="184"/>
      <c r="BP56" s="184"/>
      <c r="BQ56" s="184"/>
      <c r="BR56" s="184"/>
      <c r="BS56" s="184"/>
      <c r="BT56" s="184"/>
      <c r="BU56" s="184"/>
      <c r="BV56" s="184"/>
      <c r="BW56" s="184"/>
      <c r="BX56" s="184"/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  <c r="CP56" s="184"/>
      <c r="CQ56" s="184"/>
      <c r="CR56" s="184"/>
      <c r="CS56" s="184"/>
      <c r="CT56" s="184"/>
      <c r="CU56" s="184"/>
      <c r="CV56" s="184"/>
      <c r="CW56" s="184"/>
      <c r="CX56" s="184"/>
      <c r="CY56" s="184"/>
      <c r="CZ56" s="184"/>
      <c r="DA56" s="184"/>
      <c r="DB56" s="184"/>
      <c r="DC56" s="184"/>
      <c r="DD56" s="184"/>
      <c r="DE56" s="184"/>
      <c r="DF56" s="184"/>
      <c r="DG56" s="184"/>
      <c r="DH56" s="184"/>
      <c r="DI56" s="184"/>
      <c r="DJ56" s="184"/>
      <c r="DK56" s="184"/>
      <c r="DL56" s="184"/>
      <c r="DM56" s="184"/>
      <c r="DN56" s="184"/>
      <c r="DO56" s="184"/>
      <c r="DP56" s="184"/>
      <c r="DQ56" s="184"/>
      <c r="DR56" s="184"/>
      <c r="DS56" s="184"/>
      <c r="DT56" s="184"/>
      <c r="DU56" s="184"/>
      <c r="DV56" s="184"/>
      <c r="DW56" s="184"/>
      <c r="DX56" s="184"/>
      <c r="DY56" s="184"/>
      <c r="DZ56" s="184"/>
      <c r="EA56" s="184"/>
      <c r="EB56" s="184"/>
      <c r="EC56" s="184"/>
      <c r="ED56" s="184"/>
      <c r="EE56" s="184"/>
      <c r="EF56" s="184"/>
      <c r="EG56" s="184"/>
      <c r="EH56" s="184"/>
      <c r="EI56" s="184"/>
      <c r="EJ56" s="184"/>
      <c r="EK56" s="184"/>
      <c r="EL56" s="184"/>
      <c r="EM56" s="184"/>
      <c r="EN56" s="184"/>
      <c r="EO56" s="184"/>
      <c r="EP56" s="184"/>
      <c r="EQ56" s="184"/>
      <c r="ER56" s="184"/>
      <c r="ES56" s="184"/>
      <c r="ET56" s="184"/>
      <c r="EU56" s="184"/>
      <c r="EV56" s="184"/>
      <c r="EW56" s="184"/>
      <c r="EX56" s="184"/>
      <c r="EY56" s="184"/>
      <c r="EZ56" s="185"/>
      <c r="FA56" s="185"/>
      <c r="FB56" s="184"/>
      <c r="FC56" s="184"/>
      <c r="FD56" s="184"/>
      <c r="FE56" s="184"/>
      <c r="FF56" s="184"/>
      <c r="FG56" s="184"/>
      <c r="FH56" s="184"/>
      <c r="FI56" s="184"/>
      <c r="FJ56" s="184"/>
      <c r="FK56" s="184"/>
      <c r="FL56" s="184"/>
      <c r="FM56" s="184"/>
      <c r="FN56" s="184"/>
      <c r="FO56" s="184"/>
      <c r="FP56" s="184"/>
      <c r="FQ56" s="184"/>
      <c r="FR56" s="184"/>
      <c r="FS56" s="184"/>
      <c r="FT56" s="184"/>
      <c r="FU56" s="184"/>
      <c r="FV56" s="184"/>
      <c r="FW56" s="184"/>
      <c r="FX56" s="184"/>
      <c r="FY56" s="184"/>
      <c r="FZ56" s="184"/>
      <c r="GA56" s="184"/>
      <c r="GB56" s="185"/>
      <c r="GC56" s="184"/>
      <c r="GD56" s="184"/>
      <c r="GE56" s="184"/>
      <c r="GF56" s="184"/>
      <c r="GG56" s="184"/>
      <c r="GH56" s="184"/>
      <c r="GI56" s="184"/>
      <c r="GJ56" s="184"/>
      <c r="GK56" s="184"/>
      <c r="GL56" s="184"/>
      <c r="GM56" s="184"/>
      <c r="GN56" s="184"/>
      <c r="GO56" s="184"/>
      <c r="GP56" s="184"/>
      <c r="GQ56" s="184"/>
      <c r="GR56" s="184"/>
      <c r="GS56" s="184"/>
      <c r="GT56" s="184"/>
      <c r="GU56" s="184"/>
      <c r="GV56" s="184"/>
      <c r="GW56" s="184"/>
      <c r="GX56" s="184"/>
      <c r="GY56" s="184"/>
      <c r="GZ56" s="184"/>
      <c r="HA56" s="184"/>
    </row>
    <row r="57" ht="18.0" customHeight="1">
      <c r="A57" s="1"/>
      <c r="B57" s="28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282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31"/>
      <c r="FA57" s="31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4"/>
      <c r="FU57" s="14"/>
      <c r="FV57" s="14"/>
      <c r="FW57" s="14"/>
      <c r="FX57" s="14"/>
      <c r="FY57" s="14"/>
      <c r="FZ57" s="14"/>
      <c r="GA57" s="14"/>
      <c r="GB57" s="31"/>
      <c r="GC57" s="14"/>
      <c r="GD57" s="14"/>
      <c r="GE57" s="14"/>
      <c r="GF57" s="14"/>
      <c r="GG57" s="14"/>
      <c r="GH57" s="14"/>
      <c r="GI57" s="14"/>
      <c r="GJ57" s="14"/>
      <c r="GK57" s="14"/>
      <c r="GL57" s="14"/>
      <c r="GM57" s="14"/>
      <c r="GN57" s="14"/>
      <c r="GO57" s="14"/>
      <c r="GP57" s="14"/>
      <c r="GQ57" s="14"/>
      <c r="GR57" s="14"/>
      <c r="GS57" s="14"/>
      <c r="GT57" s="14"/>
      <c r="GU57" s="14"/>
      <c r="GV57" s="14"/>
      <c r="GW57" s="14"/>
      <c r="GX57" s="14"/>
      <c r="GY57" s="14"/>
      <c r="GZ57" s="14"/>
      <c r="HA57" s="14"/>
    </row>
    <row r="58" ht="18.0" customHeight="1">
      <c r="A58" s="1"/>
      <c r="B58" s="28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282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31"/>
      <c r="FA58" s="31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31"/>
      <c r="GC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14"/>
    </row>
    <row r="59" ht="18.0" customHeight="1">
      <c r="A59" s="1"/>
      <c r="B59" s="28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282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31"/>
      <c r="FA59" s="31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  <c r="FW59" s="14"/>
      <c r="FX59" s="14"/>
      <c r="FY59" s="14"/>
      <c r="FZ59" s="14"/>
      <c r="GA59" s="14"/>
      <c r="GB59" s="31"/>
      <c r="GC59" s="14"/>
      <c r="GD59" s="14"/>
      <c r="GE59" s="14"/>
      <c r="GF59" s="14"/>
      <c r="GG59" s="14"/>
      <c r="GH59" s="14"/>
      <c r="GI59" s="14"/>
      <c r="GJ59" s="14"/>
      <c r="GK59" s="14"/>
      <c r="GL59" s="14"/>
      <c r="GM59" s="14"/>
      <c r="GN59" s="14"/>
      <c r="GO59" s="14"/>
      <c r="GP59" s="14"/>
      <c r="GQ59" s="14"/>
      <c r="GR59" s="14"/>
      <c r="GS59" s="14"/>
      <c r="GT59" s="14"/>
      <c r="GU59" s="14"/>
      <c r="GV59" s="14"/>
      <c r="GW59" s="14"/>
      <c r="GX59" s="14"/>
      <c r="GY59" s="14"/>
      <c r="GZ59" s="14"/>
      <c r="HA59" s="14"/>
    </row>
    <row r="60" ht="18.0" customHeight="1">
      <c r="A60" s="1"/>
      <c r="B60" s="28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282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31"/>
      <c r="FA60" s="31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  <c r="FW60" s="14"/>
      <c r="FX60" s="14"/>
      <c r="FY60" s="14"/>
      <c r="FZ60" s="14"/>
      <c r="GA60" s="14"/>
      <c r="GB60" s="31"/>
      <c r="GC60" s="14"/>
      <c r="GD60" s="14"/>
      <c r="GE60" s="14"/>
      <c r="GF60" s="14"/>
      <c r="GG60" s="14"/>
      <c r="GH60" s="14"/>
      <c r="GI60" s="14"/>
      <c r="GJ60" s="14"/>
      <c r="GK60" s="14"/>
      <c r="GL60" s="14"/>
      <c r="GM60" s="14"/>
      <c r="GN60" s="14"/>
      <c r="GO60" s="14"/>
      <c r="GP60" s="14"/>
      <c r="GQ60" s="14"/>
      <c r="GR60" s="14"/>
      <c r="GS60" s="14"/>
      <c r="GT60" s="14"/>
      <c r="GU60" s="14"/>
      <c r="GV60" s="14"/>
      <c r="GW60" s="14"/>
      <c r="GX60" s="14"/>
      <c r="GY60" s="14"/>
      <c r="GZ60" s="14"/>
      <c r="HA60" s="14"/>
    </row>
    <row r="61" ht="18.0" customHeight="1">
      <c r="A61" s="1"/>
      <c r="B61" s="28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285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282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31"/>
      <c r="FA61" s="31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  <c r="FW61" s="14"/>
      <c r="FX61" s="14"/>
      <c r="FY61" s="14"/>
      <c r="FZ61" s="14"/>
      <c r="GA61" s="14"/>
      <c r="GB61" s="31"/>
      <c r="GC61" s="14"/>
      <c r="GD61" s="14"/>
      <c r="GE61" s="14"/>
      <c r="GF61" s="14"/>
      <c r="GG61" s="14"/>
      <c r="GH61" s="14"/>
      <c r="GI61" s="14"/>
      <c r="GJ61" s="14"/>
      <c r="GK61" s="14"/>
      <c r="GL61" s="14"/>
      <c r="GM61" s="14"/>
      <c r="GN61" s="14"/>
      <c r="GO61" s="14"/>
      <c r="GP61" s="14"/>
      <c r="GQ61" s="14"/>
      <c r="GR61" s="14"/>
      <c r="GS61" s="14"/>
      <c r="GT61" s="14"/>
      <c r="GU61" s="14"/>
      <c r="GV61" s="14"/>
      <c r="GW61" s="14"/>
      <c r="GX61" s="14"/>
      <c r="GY61" s="14"/>
      <c r="GZ61" s="14"/>
      <c r="HA61" s="14"/>
    </row>
    <row r="62" ht="18.0" customHeight="1">
      <c r="A62" s="1"/>
      <c r="B62" s="28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282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286"/>
      <c r="DB62" s="286"/>
      <c r="DC62" s="286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31"/>
      <c r="FA62" s="31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31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</row>
    <row r="63" ht="18.0" customHeight="1">
      <c r="A63" s="1"/>
      <c r="B63" s="283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282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286"/>
      <c r="DB63" s="286"/>
      <c r="DC63" s="286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31"/>
      <c r="FA63" s="31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  <c r="GB63" s="31"/>
      <c r="GC63" s="14"/>
      <c r="GD63" s="14"/>
      <c r="GE63" s="14"/>
      <c r="GF63" s="14"/>
      <c r="GG63" s="14"/>
      <c r="GH63" s="14"/>
      <c r="GI63" s="14"/>
      <c r="GJ63" s="14"/>
      <c r="GK63" s="14"/>
      <c r="GL63" s="14"/>
      <c r="GM63" s="14"/>
      <c r="GN63" s="14"/>
      <c r="GO63" s="14"/>
      <c r="GP63" s="14"/>
      <c r="GQ63" s="14"/>
      <c r="GR63" s="14"/>
      <c r="GS63" s="14"/>
      <c r="GT63" s="14"/>
      <c r="GU63" s="14"/>
      <c r="GV63" s="14"/>
      <c r="GW63" s="14"/>
      <c r="GX63" s="14"/>
      <c r="GY63" s="14"/>
      <c r="GZ63" s="14"/>
      <c r="HA63" s="14"/>
    </row>
    <row r="64" ht="18.0" customHeight="1">
      <c r="A64" s="1"/>
      <c r="B64" s="28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282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286"/>
      <c r="DB64" s="286"/>
      <c r="DC64" s="286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31"/>
      <c r="FA64" s="31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  <c r="GB64" s="31"/>
      <c r="GC64" s="14"/>
      <c r="GD64" s="14"/>
      <c r="GE64" s="14"/>
      <c r="GF64" s="14"/>
      <c r="GG64" s="14"/>
      <c r="GH64" s="14"/>
      <c r="GI64" s="14"/>
      <c r="GJ64" s="14"/>
      <c r="GK64" s="14"/>
      <c r="GL64" s="14"/>
      <c r="GM64" s="14"/>
      <c r="GN64" s="14"/>
      <c r="GO64" s="14"/>
      <c r="GP64" s="14"/>
      <c r="GQ64" s="14"/>
      <c r="GR64" s="14"/>
      <c r="GS64" s="14"/>
      <c r="GT64" s="14"/>
      <c r="GU64" s="14"/>
      <c r="GV64" s="14"/>
      <c r="GW64" s="14"/>
      <c r="GX64" s="14"/>
      <c r="GY64" s="14"/>
      <c r="GZ64" s="14"/>
      <c r="HA64" s="14"/>
    </row>
    <row r="65" ht="18.0" customHeight="1">
      <c r="A65" s="1"/>
      <c r="B65" s="283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282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31"/>
      <c r="FA65" s="31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  <c r="GB65" s="31"/>
      <c r="GC65" s="14"/>
      <c r="GD65" s="14"/>
      <c r="GE65" s="14"/>
      <c r="GF65" s="14"/>
      <c r="GG65" s="14"/>
      <c r="GH65" s="14"/>
      <c r="GI65" s="14"/>
      <c r="GJ65" s="14"/>
      <c r="GK65" s="14"/>
      <c r="GL65" s="14"/>
      <c r="GM65" s="14"/>
      <c r="GN65" s="14"/>
      <c r="GO65" s="14"/>
      <c r="GP65" s="14"/>
      <c r="GQ65" s="14"/>
      <c r="GR65" s="14"/>
      <c r="GS65" s="14"/>
      <c r="GT65" s="14"/>
      <c r="GU65" s="14"/>
      <c r="GV65" s="14"/>
      <c r="GW65" s="14"/>
      <c r="GX65" s="14"/>
      <c r="GY65" s="14"/>
      <c r="GZ65" s="14"/>
      <c r="HA65" s="14"/>
    </row>
    <row r="66" ht="18.0" customHeight="1">
      <c r="A66" s="1"/>
      <c r="B66" s="28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282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31"/>
      <c r="FA66" s="31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31"/>
      <c r="GC66" s="14"/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4"/>
      <c r="GV66" s="14"/>
      <c r="GW66" s="14"/>
      <c r="GX66" s="14"/>
      <c r="GY66" s="14"/>
      <c r="GZ66" s="14"/>
      <c r="HA66" s="14"/>
    </row>
    <row r="67" ht="18.0" customHeight="1">
      <c r="A67" s="1"/>
      <c r="B67" s="28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282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31"/>
      <c r="FA67" s="31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31"/>
      <c r="GC67" s="14"/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4"/>
      <c r="GV67" s="14"/>
      <c r="GW67" s="14"/>
      <c r="GX67" s="14"/>
      <c r="GY67" s="14"/>
      <c r="GZ67" s="14"/>
      <c r="HA67" s="14"/>
    </row>
    <row r="68" ht="18.0" customHeight="1">
      <c r="A68" s="1"/>
      <c r="B68" s="28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282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31"/>
      <c r="FA68" s="31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31"/>
      <c r="GC68" s="14"/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4"/>
      <c r="GV68" s="14"/>
      <c r="GW68" s="14"/>
      <c r="GX68" s="14"/>
      <c r="GY68" s="14"/>
      <c r="GZ68" s="14"/>
      <c r="HA68" s="14"/>
    </row>
    <row r="69" ht="18.0" hidden="1" customHeight="1">
      <c r="A69" s="1"/>
      <c r="B69" s="28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282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31"/>
      <c r="FA69" s="31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31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4"/>
      <c r="GV69" s="14"/>
      <c r="GW69" s="14"/>
      <c r="GX69" s="14"/>
      <c r="GY69" s="14"/>
      <c r="GZ69" s="14"/>
      <c r="HA69" s="14"/>
    </row>
    <row r="70" ht="18.0" hidden="1" customHeight="1">
      <c r="A70" s="1"/>
      <c r="B70" s="28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282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31"/>
      <c r="FA70" s="31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31"/>
      <c r="GC70" s="14"/>
      <c r="GD70" s="14"/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/>
      <c r="GS70" s="14"/>
      <c r="GT70" s="14"/>
      <c r="GU70" s="14"/>
      <c r="GV70" s="14"/>
      <c r="GW70" s="14"/>
      <c r="GX70" s="14"/>
      <c r="GY70" s="14"/>
      <c r="GZ70" s="14"/>
      <c r="HA70" s="14"/>
    </row>
    <row r="71" ht="18.0" customHeight="1">
      <c r="A71" s="1"/>
      <c r="B71" s="283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282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31"/>
      <c r="FA71" s="31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  <c r="GB71" s="31"/>
      <c r="GC71" s="14"/>
      <c r="GD71" s="14"/>
      <c r="GE71" s="14"/>
      <c r="GF71" s="14"/>
      <c r="GG71" s="14"/>
      <c r="GH71" s="14"/>
      <c r="GI71" s="14"/>
      <c r="GJ71" s="14"/>
      <c r="GK71" s="14"/>
      <c r="GL71" s="14"/>
      <c r="GM71" s="14"/>
      <c r="GN71" s="14"/>
      <c r="GO71" s="14"/>
      <c r="GP71" s="14"/>
      <c r="GQ71" s="14"/>
      <c r="GR71" s="14"/>
      <c r="GS71" s="14"/>
      <c r="GT71" s="14"/>
      <c r="GU71" s="14"/>
      <c r="GV71" s="14"/>
      <c r="GW71" s="14"/>
      <c r="GX71" s="14"/>
      <c r="GY71" s="14"/>
      <c r="GZ71" s="14"/>
      <c r="HA71" s="14"/>
    </row>
    <row r="72" ht="18.0" customHeight="1">
      <c r="A72" s="1"/>
      <c r="B72" s="28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282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31"/>
      <c r="FA72" s="31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14"/>
      <c r="FU72" s="14"/>
      <c r="FV72" s="14"/>
      <c r="FW72" s="14"/>
      <c r="FX72" s="14"/>
      <c r="FY72" s="14"/>
      <c r="FZ72" s="14"/>
      <c r="GA72" s="14"/>
      <c r="GB72" s="31"/>
      <c r="GC72" s="14"/>
      <c r="GD72" s="14"/>
      <c r="GE72" s="14"/>
      <c r="GF72" s="14"/>
      <c r="GG72" s="14"/>
      <c r="GH72" s="14"/>
      <c r="GI72" s="14"/>
      <c r="GJ72" s="14"/>
      <c r="GK72" s="14"/>
      <c r="GL72" s="14"/>
      <c r="GM72" s="14"/>
      <c r="GN72" s="14"/>
      <c r="GO72" s="14"/>
      <c r="GP72" s="14"/>
      <c r="GQ72" s="14"/>
      <c r="GR72" s="14"/>
      <c r="GS72" s="14"/>
      <c r="GT72" s="14"/>
      <c r="GU72" s="14"/>
      <c r="GV72" s="14"/>
      <c r="GW72" s="14"/>
      <c r="GX72" s="14"/>
      <c r="GY72" s="14"/>
      <c r="GZ72" s="14"/>
      <c r="HA72" s="14"/>
    </row>
    <row r="73" ht="18.0" customHeight="1">
      <c r="A73" s="1"/>
      <c r="B73" s="28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282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31"/>
      <c r="FA73" s="31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31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Q73" s="14"/>
      <c r="GR73" s="14"/>
      <c r="GS73" s="14"/>
      <c r="GT73" s="14"/>
      <c r="GU73" s="14"/>
      <c r="GV73" s="14"/>
      <c r="GW73" s="14"/>
      <c r="GX73" s="14"/>
      <c r="GY73" s="14"/>
      <c r="GZ73" s="14"/>
      <c r="HA73" s="14"/>
    </row>
    <row r="74" ht="18.0" customHeight="1">
      <c r="A74" s="1"/>
      <c r="B74" s="28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282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31"/>
      <c r="FA74" s="31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31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</row>
    <row r="75" ht="18.0" customHeight="1">
      <c r="A75" s="1"/>
      <c r="B75" s="283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282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31"/>
      <c r="FA75" s="31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31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</row>
    <row r="76" ht="18.0" customHeight="1">
      <c r="A76" s="1"/>
      <c r="B76" s="28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282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31"/>
      <c r="FA76" s="31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31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</row>
    <row r="77" ht="18.0" customHeight="1">
      <c r="A77" s="1"/>
      <c r="B77" s="9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282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31"/>
      <c r="FA77" s="31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  <c r="GB77" s="31"/>
      <c r="GC77" s="14"/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Q77" s="14"/>
      <c r="GR77" s="14"/>
      <c r="GS77" s="14"/>
      <c r="GT77" s="14"/>
      <c r="GU77" s="14"/>
      <c r="GV77" s="14"/>
      <c r="GW77" s="14"/>
      <c r="GX77" s="14"/>
      <c r="GY77" s="14"/>
      <c r="GZ77" s="14"/>
      <c r="HA77" s="14"/>
    </row>
    <row r="78" ht="30.0" customHeight="1">
      <c r="A78" s="1"/>
      <c r="B78" s="280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287"/>
      <c r="BM78" s="282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31"/>
      <c r="FA78" s="31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31"/>
      <c r="GC78" s="14"/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/>
      <c r="GV78" s="14"/>
      <c r="GW78" s="14"/>
      <c r="GX78" s="14"/>
      <c r="GY78" s="14"/>
      <c r="GZ78" s="14"/>
      <c r="HA78" s="14"/>
    </row>
    <row r="79" ht="18.0" customHeight="1">
      <c r="A79" s="179"/>
      <c r="B79" s="282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  <c r="AO79" s="184"/>
      <c r="AP79" s="184"/>
      <c r="AQ79" s="184"/>
      <c r="AR79" s="184"/>
      <c r="AS79" s="184"/>
      <c r="AT79" s="184"/>
      <c r="AU79" s="184"/>
      <c r="AV79" s="184"/>
      <c r="AW79" s="184"/>
      <c r="AX79" s="184"/>
      <c r="AY79" s="184"/>
      <c r="AZ79" s="184"/>
      <c r="BA79" s="184"/>
      <c r="BB79" s="184"/>
      <c r="BC79" s="184"/>
      <c r="BD79" s="184"/>
      <c r="BE79" s="184"/>
      <c r="BF79" s="184"/>
      <c r="BG79" s="184"/>
      <c r="BH79" s="184"/>
      <c r="BI79" s="184"/>
      <c r="BJ79" s="184"/>
      <c r="BK79" s="184"/>
      <c r="BL79" s="184"/>
      <c r="BM79" s="282"/>
      <c r="BN79" s="184"/>
      <c r="BO79" s="184"/>
      <c r="BP79" s="184"/>
      <c r="BQ79" s="184"/>
      <c r="BR79" s="184"/>
      <c r="BS79" s="184"/>
      <c r="BT79" s="184"/>
      <c r="BU79" s="184"/>
      <c r="BV79" s="184"/>
      <c r="BW79" s="184"/>
      <c r="BX79" s="184"/>
      <c r="BY79" s="184"/>
      <c r="BZ79" s="184"/>
      <c r="CA79" s="184"/>
      <c r="CB79" s="184"/>
      <c r="CC79" s="184"/>
      <c r="CD79" s="184"/>
      <c r="CE79" s="184"/>
      <c r="CF79" s="184"/>
      <c r="CG79" s="184"/>
      <c r="CH79" s="184"/>
      <c r="CI79" s="184"/>
      <c r="CJ79" s="184"/>
      <c r="CK79" s="184"/>
      <c r="CL79" s="184"/>
      <c r="CM79" s="184"/>
      <c r="CN79" s="184"/>
      <c r="CO79" s="184"/>
      <c r="CP79" s="184"/>
      <c r="CQ79" s="184"/>
      <c r="CR79" s="184"/>
      <c r="CS79" s="184"/>
      <c r="CT79" s="184"/>
      <c r="CU79" s="184"/>
      <c r="CV79" s="184"/>
      <c r="CW79" s="184"/>
      <c r="CX79" s="184"/>
      <c r="CY79" s="184"/>
      <c r="CZ79" s="184"/>
      <c r="DA79" s="184"/>
      <c r="DB79" s="184"/>
      <c r="DC79" s="184"/>
      <c r="DD79" s="184"/>
      <c r="DE79" s="184"/>
      <c r="DF79" s="184"/>
      <c r="DG79" s="184"/>
      <c r="DH79" s="184"/>
      <c r="DI79" s="184"/>
      <c r="DJ79" s="184"/>
      <c r="DK79" s="184"/>
      <c r="DL79" s="184"/>
      <c r="DM79" s="184"/>
      <c r="DN79" s="184"/>
      <c r="DO79" s="184"/>
      <c r="DP79" s="184"/>
      <c r="DQ79" s="184"/>
      <c r="DR79" s="184"/>
      <c r="DS79" s="184"/>
      <c r="DT79" s="184"/>
      <c r="DU79" s="184"/>
      <c r="DV79" s="184"/>
      <c r="DW79" s="184"/>
      <c r="DX79" s="184"/>
      <c r="DY79" s="184"/>
      <c r="DZ79" s="184"/>
      <c r="EA79" s="184"/>
      <c r="EB79" s="184"/>
      <c r="EC79" s="184"/>
      <c r="ED79" s="184"/>
      <c r="EE79" s="184"/>
      <c r="EF79" s="184"/>
      <c r="EG79" s="184"/>
      <c r="EH79" s="184"/>
      <c r="EI79" s="184"/>
      <c r="EJ79" s="184"/>
      <c r="EK79" s="184"/>
      <c r="EL79" s="184"/>
      <c r="EM79" s="184"/>
      <c r="EN79" s="184"/>
      <c r="EO79" s="184"/>
      <c r="EP79" s="184"/>
      <c r="EQ79" s="184"/>
      <c r="ER79" s="184"/>
      <c r="ES79" s="184"/>
      <c r="ET79" s="184"/>
      <c r="EU79" s="184"/>
      <c r="EV79" s="184"/>
      <c r="EW79" s="184"/>
      <c r="EX79" s="184"/>
      <c r="EY79" s="184"/>
      <c r="EZ79" s="185"/>
      <c r="FA79" s="185"/>
      <c r="FB79" s="184"/>
      <c r="FC79" s="184"/>
      <c r="FD79" s="184"/>
      <c r="FE79" s="184"/>
      <c r="FF79" s="184"/>
      <c r="FG79" s="184"/>
      <c r="FH79" s="184"/>
      <c r="FI79" s="184"/>
      <c r="FJ79" s="184"/>
      <c r="FK79" s="184"/>
      <c r="FL79" s="184"/>
      <c r="FM79" s="184"/>
      <c r="FN79" s="184"/>
      <c r="FO79" s="184"/>
      <c r="FP79" s="184"/>
      <c r="FQ79" s="184"/>
      <c r="FR79" s="184"/>
      <c r="FS79" s="184"/>
      <c r="FT79" s="184"/>
      <c r="FU79" s="184"/>
      <c r="FV79" s="184"/>
      <c r="FW79" s="184"/>
      <c r="FX79" s="184"/>
      <c r="FY79" s="184"/>
      <c r="FZ79" s="184"/>
      <c r="GA79" s="184"/>
      <c r="GB79" s="185"/>
      <c r="GC79" s="184"/>
      <c r="GD79" s="184"/>
      <c r="GE79" s="184"/>
      <c r="GF79" s="184"/>
      <c r="GG79" s="184"/>
      <c r="GH79" s="184"/>
      <c r="GI79" s="184"/>
      <c r="GJ79" s="184"/>
      <c r="GK79" s="184"/>
      <c r="GL79" s="184"/>
      <c r="GM79" s="184"/>
      <c r="GN79" s="184"/>
      <c r="GO79" s="184"/>
      <c r="GP79" s="184"/>
      <c r="GQ79" s="184"/>
      <c r="GR79" s="184"/>
      <c r="GS79" s="184"/>
      <c r="GT79" s="184"/>
      <c r="GU79" s="184"/>
      <c r="GV79" s="184"/>
      <c r="GW79" s="184"/>
      <c r="GX79" s="184"/>
      <c r="GY79" s="184"/>
      <c r="GZ79" s="184"/>
      <c r="HA79" s="184"/>
    </row>
    <row r="80" ht="18.0" customHeight="1">
      <c r="A80" s="1"/>
      <c r="B80" s="283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282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31"/>
      <c r="FA80" s="31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31"/>
      <c r="GC80" s="14"/>
      <c r="GD80" s="14"/>
      <c r="GE80" s="14"/>
      <c r="GF80" s="14"/>
      <c r="GG80" s="14"/>
      <c r="GH80" s="14"/>
      <c r="GI80" s="14"/>
      <c r="GJ80" s="14"/>
      <c r="GK80" s="14"/>
      <c r="GL80" s="14"/>
      <c r="GM80" s="14"/>
      <c r="GN80" s="14"/>
      <c r="GO80" s="14"/>
      <c r="GP80" s="14"/>
      <c r="GQ80" s="14"/>
      <c r="GR80" s="14"/>
      <c r="GS80" s="14"/>
      <c r="GT80" s="14"/>
      <c r="GU80" s="14"/>
      <c r="GV80" s="14"/>
      <c r="GW80" s="14"/>
      <c r="GX80" s="14"/>
      <c r="GY80" s="14"/>
      <c r="GZ80" s="14"/>
      <c r="HA80" s="14"/>
    </row>
    <row r="81" ht="18.0" customHeight="1">
      <c r="A81" s="1"/>
      <c r="B81" s="283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282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31"/>
      <c r="FA81" s="31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31"/>
      <c r="GC81" s="14"/>
      <c r="GD81" s="14"/>
      <c r="GE81" s="14"/>
      <c r="GF81" s="14"/>
      <c r="GG81" s="14"/>
      <c r="GH81" s="14"/>
      <c r="GI81" s="14"/>
      <c r="GJ81" s="14"/>
      <c r="GK81" s="14"/>
      <c r="GL81" s="14"/>
      <c r="GM81" s="14"/>
      <c r="GN81" s="14"/>
      <c r="GO81" s="14"/>
      <c r="GP81" s="14"/>
      <c r="GQ81" s="14"/>
      <c r="GR81" s="14"/>
      <c r="GS81" s="14"/>
      <c r="GT81" s="14"/>
      <c r="GU81" s="14"/>
      <c r="GV81" s="14"/>
      <c r="GW81" s="14"/>
      <c r="GX81" s="14"/>
      <c r="GY81" s="14"/>
      <c r="GZ81" s="14"/>
      <c r="HA81" s="14"/>
    </row>
    <row r="82" ht="18.0" customHeight="1">
      <c r="A82" s="1"/>
      <c r="B82" s="283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282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31"/>
      <c r="FA82" s="31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31"/>
      <c r="GC82" s="14"/>
      <c r="GD82" s="14"/>
      <c r="GE82" s="14"/>
      <c r="GF82" s="14"/>
      <c r="GG82" s="14"/>
      <c r="GH82" s="14"/>
      <c r="GI82" s="14"/>
      <c r="GJ82" s="14"/>
      <c r="GK82" s="14"/>
      <c r="GL82" s="14"/>
      <c r="GM82" s="14"/>
      <c r="GN82" s="14"/>
      <c r="GO82" s="14"/>
      <c r="GP82" s="14"/>
      <c r="GQ82" s="14"/>
      <c r="GR82" s="14"/>
      <c r="GS82" s="14"/>
      <c r="GT82" s="14"/>
      <c r="GU82" s="14"/>
      <c r="GV82" s="14"/>
      <c r="GW82" s="14"/>
      <c r="GX82" s="14"/>
      <c r="GY82" s="14"/>
      <c r="GZ82" s="14"/>
      <c r="HA82" s="14"/>
    </row>
    <row r="83" ht="18.0" customHeight="1">
      <c r="A83" s="1"/>
      <c r="B83" s="28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282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31"/>
      <c r="FA83" s="31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31"/>
      <c r="GC83" s="14"/>
      <c r="GD83" s="14"/>
      <c r="GE83" s="14"/>
      <c r="GF83" s="14"/>
      <c r="GG83" s="14"/>
      <c r="GH83" s="14"/>
      <c r="GI83" s="14"/>
      <c r="GJ83" s="14"/>
      <c r="GK83" s="14"/>
      <c r="GL83" s="14"/>
      <c r="GM83" s="14"/>
      <c r="GN83" s="14"/>
      <c r="GO83" s="14"/>
      <c r="GP83" s="14"/>
      <c r="GQ83" s="14"/>
      <c r="GR83" s="14"/>
      <c r="GS83" s="14"/>
      <c r="GT83" s="14"/>
      <c r="GU83" s="14"/>
      <c r="GV83" s="14"/>
      <c r="GW83" s="14"/>
      <c r="GX83" s="14"/>
      <c r="GY83" s="14"/>
      <c r="GZ83" s="14"/>
      <c r="HA83" s="14"/>
    </row>
    <row r="84" ht="18.0" customHeight="1">
      <c r="A84" s="1"/>
      <c r="B84" s="28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282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31"/>
      <c r="FA84" s="31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31"/>
      <c r="GC84" s="14"/>
      <c r="GD84" s="14"/>
      <c r="GE84" s="14"/>
      <c r="GF84" s="14"/>
      <c r="GG84" s="14"/>
      <c r="GH84" s="14"/>
      <c r="GI84" s="14"/>
      <c r="GJ84" s="14"/>
      <c r="GK84" s="14"/>
      <c r="GL84" s="14"/>
      <c r="GM84" s="14"/>
      <c r="GN84" s="14"/>
      <c r="GO84" s="14"/>
      <c r="GP84" s="14"/>
      <c r="GQ84" s="14"/>
      <c r="GR84" s="14"/>
      <c r="GS84" s="14"/>
      <c r="GT84" s="14"/>
      <c r="GU84" s="14"/>
      <c r="GV84" s="14"/>
      <c r="GW84" s="14"/>
      <c r="GX84" s="14"/>
      <c r="GY84" s="14"/>
      <c r="GZ84" s="14"/>
      <c r="HA84" s="14"/>
    </row>
    <row r="85" ht="18.0" customHeight="1">
      <c r="A85" s="1"/>
      <c r="B85" s="28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282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31"/>
      <c r="FA85" s="31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31"/>
      <c r="GC85" s="14"/>
      <c r="GD85" s="14"/>
      <c r="GE85" s="14"/>
      <c r="GF85" s="14"/>
      <c r="GG85" s="14"/>
      <c r="GH85" s="14"/>
      <c r="GI85" s="14"/>
      <c r="GJ85" s="14"/>
      <c r="GK85" s="14"/>
      <c r="GL85" s="14"/>
      <c r="GM85" s="14"/>
      <c r="GN85" s="14"/>
      <c r="GO85" s="14"/>
      <c r="GP85" s="14"/>
      <c r="GQ85" s="14"/>
      <c r="GR85" s="14"/>
      <c r="GS85" s="14"/>
      <c r="GT85" s="14"/>
      <c r="GU85" s="14"/>
      <c r="GV85" s="14"/>
      <c r="GW85" s="14"/>
      <c r="GX85" s="14"/>
      <c r="GY85" s="14"/>
      <c r="GZ85" s="14"/>
      <c r="HA85" s="14"/>
    </row>
    <row r="86" ht="18.0" customHeight="1">
      <c r="A86" s="1"/>
      <c r="B86" s="283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282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31"/>
      <c r="FA86" s="31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31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</row>
    <row r="87" ht="18.0" customHeight="1">
      <c r="A87" s="1"/>
      <c r="B87" s="28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282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31"/>
      <c r="FA87" s="31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31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</row>
    <row r="88" ht="18.0" customHeight="1">
      <c r="A88" s="1"/>
      <c r="B88" s="283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282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31"/>
      <c r="FA88" s="31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31"/>
      <c r="GC88" s="14"/>
      <c r="GD88" s="14"/>
      <c r="GE88" s="14"/>
      <c r="GF88" s="14"/>
      <c r="GG88" s="14"/>
      <c r="GH88" s="14"/>
      <c r="GI88" s="14"/>
      <c r="GJ88" s="14"/>
      <c r="GK88" s="14"/>
      <c r="GL88" s="14"/>
      <c r="GM88" s="14"/>
      <c r="GN88" s="14"/>
      <c r="GO88" s="14"/>
      <c r="GP88" s="14"/>
      <c r="GQ88" s="14"/>
      <c r="GR88" s="14"/>
      <c r="GS88" s="14"/>
      <c r="GT88" s="14"/>
      <c r="GU88" s="14"/>
      <c r="GV88" s="14"/>
      <c r="GW88" s="14"/>
      <c r="GX88" s="14"/>
      <c r="GY88" s="14"/>
      <c r="GZ88" s="14"/>
      <c r="HA88" s="14"/>
    </row>
    <row r="89" ht="18.0" customHeight="1">
      <c r="A89" s="1"/>
      <c r="B89" s="28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282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31"/>
      <c r="FA89" s="31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31"/>
      <c r="GC89" s="14"/>
      <c r="GD89" s="14"/>
      <c r="GE89" s="14"/>
      <c r="GF89" s="14"/>
      <c r="GG89" s="14"/>
      <c r="GH89" s="14"/>
      <c r="GI89" s="14"/>
      <c r="GJ89" s="14"/>
      <c r="GK89" s="14"/>
      <c r="GL89" s="14"/>
      <c r="GM89" s="14"/>
      <c r="GN89" s="14"/>
      <c r="GO89" s="14"/>
      <c r="GP89" s="14"/>
      <c r="GQ89" s="14"/>
      <c r="GR89" s="14"/>
      <c r="GS89" s="14"/>
      <c r="GT89" s="14"/>
      <c r="GU89" s="14"/>
      <c r="GV89" s="14"/>
      <c r="GW89" s="14"/>
      <c r="GX89" s="14"/>
      <c r="GY89" s="14"/>
      <c r="GZ89" s="14"/>
      <c r="HA89" s="14"/>
    </row>
    <row r="90" ht="18.0" customHeight="1">
      <c r="A90" s="1"/>
      <c r="B90" s="283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282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31"/>
      <c r="FA90" s="31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31"/>
      <c r="GC90" s="14"/>
      <c r="GD90" s="14"/>
      <c r="GE90" s="14"/>
      <c r="GF90" s="14"/>
      <c r="GG90" s="14"/>
      <c r="GH90" s="14"/>
      <c r="GI90" s="14"/>
      <c r="GJ90" s="14"/>
      <c r="GK90" s="14"/>
      <c r="GL90" s="14"/>
      <c r="GM90" s="14"/>
      <c r="GN90" s="14"/>
      <c r="GO90" s="14"/>
      <c r="GP90" s="14"/>
      <c r="GQ90" s="14"/>
      <c r="GR90" s="14"/>
      <c r="GS90" s="14"/>
      <c r="GT90" s="14"/>
      <c r="GU90" s="14"/>
      <c r="GV90" s="14"/>
      <c r="GW90" s="14"/>
      <c r="GX90" s="14"/>
      <c r="GY90" s="14"/>
      <c r="GZ90" s="14"/>
      <c r="HA90" s="14"/>
    </row>
    <row r="91" ht="18.0" customHeight="1">
      <c r="A91" s="1"/>
      <c r="B91" s="28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282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31"/>
      <c r="FA91" s="31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31"/>
      <c r="GC91" s="14"/>
      <c r="GD91" s="14"/>
      <c r="GE91" s="14"/>
      <c r="GF91" s="14"/>
      <c r="GG91" s="14"/>
      <c r="GH91" s="14"/>
      <c r="GI91" s="14"/>
      <c r="GJ91" s="14"/>
      <c r="GK91" s="14"/>
      <c r="GL91" s="14"/>
      <c r="GM91" s="14"/>
      <c r="GN91" s="14"/>
      <c r="GO91" s="14"/>
      <c r="GP91" s="14"/>
      <c r="GQ91" s="14"/>
      <c r="GR91" s="14"/>
      <c r="GS91" s="14"/>
      <c r="GT91" s="14"/>
      <c r="GU91" s="14"/>
      <c r="GV91" s="14"/>
      <c r="GW91" s="14"/>
      <c r="GX91" s="14"/>
      <c r="GY91" s="14"/>
      <c r="GZ91" s="14"/>
      <c r="HA91" s="14"/>
    </row>
    <row r="92" ht="18.0" hidden="1" customHeight="1">
      <c r="A92" s="1"/>
      <c r="B92" s="283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282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31"/>
      <c r="FA92" s="31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31"/>
      <c r="GC92" s="14"/>
      <c r="GD92" s="14"/>
      <c r="GE92" s="14"/>
      <c r="GF92" s="14"/>
      <c r="GG92" s="14"/>
      <c r="GH92" s="14"/>
      <c r="GI92" s="14"/>
      <c r="GJ92" s="14"/>
      <c r="GK92" s="14"/>
      <c r="GL92" s="14"/>
      <c r="GM92" s="14"/>
      <c r="GN92" s="14"/>
      <c r="GO92" s="14"/>
      <c r="GP92" s="14"/>
      <c r="GQ92" s="14"/>
      <c r="GR92" s="14"/>
      <c r="GS92" s="14"/>
      <c r="GT92" s="14"/>
      <c r="GU92" s="14"/>
      <c r="GV92" s="14"/>
      <c r="GW92" s="14"/>
      <c r="GX92" s="14"/>
      <c r="GY92" s="14"/>
      <c r="GZ92" s="14"/>
      <c r="HA92" s="14"/>
    </row>
    <row r="93" ht="18.0" hidden="1" customHeight="1">
      <c r="A93" s="1"/>
      <c r="B93" s="28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282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31"/>
      <c r="FA93" s="31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31"/>
      <c r="GC93" s="14"/>
      <c r="GD93" s="14"/>
      <c r="GE93" s="14"/>
      <c r="GF93" s="14"/>
      <c r="GG93" s="14"/>
      <c r="GH93" s="14"/>
      <c r="GI93" s="14"/>
      <c r="GJ93" s="14"/>
      <c r="GK93" s="14"/>
      <c r="GL93" s="14"/>
      <c r="GM93" s="14"/>
      <c r="GN93" s="14"/>
      <c r="GO93" s="14"/>
      <c r="GP93" s="14"/>
      <c r="GQ93" s="14"/>
      <c r="GR93" s="14"/>
      <c r="GS93" s="14"/>
      <c r="GT93" s="14"/>
      <c r="GU93" s="14"/>
      <c r="GV93" s="14"/>
      <c r="GW93" s="14"/>
      <c r="GX93" s="14"/>
      <c r="GY93" s="14"/>
      <c r="GZ93" s="14"/>
      <c r="HA93" s="14"/>
    </row>
    <row r="94" ht="18.0" customHeight="1">
      <c r="A94" s="1"/>
      <c r="B94" s="283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282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31"/>
      <c r="FA94" s="31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31"/>
      <c r="GC94" s="14"/>
      <c r="GD94" s="14"/>
      <c r="GE94" s="14"/>
      <c r="GF94" s="14"/>
      <c r="GG94" s="14"/>
      <c r="GH94" s="14"/>
      <c r="GI94" s="14"/>
      <c r="GJ94" s="14"/>
      <c r="GK94" s="14"/>
      <c r="GL94" s="14"/>
      <c r="GM94" s="14"/>
      <c r="GN94" s="14"/>
      <c r="GO94" s="14"/>
      <c r="GP94" s="14"/>
      <c r="GQ94" s="14"/>
      <c r="GR94" s="14"/>
      <c r="GS94" s="14"/>
      <c r="GT94" s="14"/>
      <c r="GU94" s="14"/>
      <c r="GV94" s="14"/>
      <c r="GW94" s="14"/>
      <c r="GX94" s="14"/>
      <c r="GY94" s="14"/>
      <c r="GZ94" s="14"/>
      <c r="HA94" s="14"/>
    </row>
    <row r="95" ht="18.0" customHeight="1">
      <c r="A95" s="1"/>
      <c r="B95" s="28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282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31"/>
      <c r="FA95" s="31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31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</row>
    <row r="96" ht="18.0" customHeight="1">
      <c r="A96" s="1"/>
      <c r="B96" s="283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282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31"/>
      <c r="FA96" s="31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31"/>
      <c r="GC96" s="14"/>
      <c r="GD96" s="14"/>
      <c r="GE96" s="14"/>
      <c r="GF96" s="14"/>
      <c r="GG96" s="14"/>
      <c r="GH96" s="14"/>
      <c r="GI96" s="14"/>
      <c r="GJ96" s="14"/>
      <c r="GK96" s="14"/>
      <c r="GL96" s="14"/>
      <c r="GM96" s="14"/>
      <c r="GN96" s="14"/>
      <c r="GO96" s="14"/>
      <c r="GP96" s="14"/>
      <c r="GQ96" s="14"/>
      <c r="GR96" s="14"/>
      <c r="GS96" s="14"/>
      <c r="GT96" s="14"/>
      <c r="GU96" s="14"/>
      <c r="GV96" s="14"/>
      <c r="GW96" s="14"/>
      <c r="GX96" s="14"/>
      <c r="GY96" s="14"/>
      <c r="GZ96" s="14"/>
      <c r="HA96" s="14"/>
    </row>
    <row r="97" ht="18.0" customHeight="1">
      <c r="A97" s="1"/>
      <c r="B97" s="28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282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31"/>
      <c r="FA97" s="31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31"/>
      <c r="GC97" s="14"/>
      <c r="GD97" s="14"/>
      <c r="GE97" s="14"/>
      <c r="GF97" s="14"/>
      <c r="GG97" s="14"/>
      <c r="GH97" s="14"/>
      <c r="GI97" s="14"/>
      <c r="GJ97" s="14"/>
      <c r="GK97" s="14"/>
      <c r="GL97" s="14"/>
      <c r="GM97" s="14"/>
      <c r="GN97" s="14"/>
      <c r="GO97" s="14"/>
      <c r="GP97" s="14"/>
      <c r="GQ97" s="14"/>
      <c r="GR97" s="14"/>
      <c r="GS97" s="14"/>
      <c r="GT97" s="14"/>
      <c r="GU97" s="14"/>
      <c r="GV97" s="14"/>
      <c r="GW97" s="14"/>
      <c r="GX97" s="14"/>
      <c r="GY97" s="14"/>
      <c r="GZ97" s="14"/>
      <c r="HA97" s="14"/>
    </row>
    <row r="98" ht="18.0" customHeight="1">
      <c r="A98" s="1"/>
      <c r="B98" s="283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282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31"/>
      <c r="FA98" s="31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31"/>
      <c r="GC98" s="14"/>
      <c r="GD98" s="14"/>
      <c r="GE98" s="14"/>
      <c r="GF98" s="14"/>
      <c r="GG98" s="14"/>
      <c r="GH98" s="14"/>
      <c r="GI98" s="14"/>
      <c r="GJ98" s="14"/>
      <c r="GK98" s="14"/>
      <c r="GL98" s="14"/>
      <c r="GM98" s="14"/>
      <c r="GN98" s="14"/>
      <c r="GO98" s="14"/>
      <c r="GP98" s="14"/>
      <c r="GQ98" s="14"/>
      <c r="GR98" s="14"/>
      <c r="GS98" s="14"/>
      <c r="GT98" s="14"/>
      <c r="GU98" s="14"/>
      <c r="GV98" s="14"/>
      <c r="GW98" s="14"/>
      <c r="GX98" s="14"/>
      <c r="GY98" s="14"/>
      <c r="GZ98" s="14"/>
      <c r="HA98" s="14"/>
    </row>
    <row r="99" ht="18.0" customHeight="1">
      <c r="A99" s="1"/>
      <c r="B99" s="28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282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31"/>
      <c r="FA99" s="31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31"/>
      <c r="GC99" s="14"/>
      <c r="GD99" s="14"/>
      <c r="GE99" s="14"/>
      <c r="GF99" s="14"/>
      <c r="GG99" s="14"/>
      <c r="GH99" s="14"/>
      <c r="GI99" s="14"/>
      <c r="GJ99" s="14"/>
      <c r="GK99" s="14"/>
      <c r="GL99" s="14"/>
      <c r="GM99" s="14"/>
      <c r="GN99" s="14"/>
      <c r="GO99" s="14"/>
      <c r="GP99" s="14"/>
      <c r="GQ99" s="14"/>
      <c r="GR99" s="14"/>
      <c r="GS99" s="14"/>
      <c r="GT99" s="14"/>
      <c r="GU99" s="14"/>
      <c r="GV99" s="14"/>
      <c r="GW99" s="14"/>
      <c r="GX99" s="14"/>
      <c r="GY99" s="14"/>
      <c r="GZ99" s="14"/>
      <c r="HA99" s="14"/>
    </row>
    <row r="100" ht="18.0" customHeight="1">
      <c r="A100" s="1"/>
      <c r="B100" s="9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282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31"/>
      <c r="FA100" s="31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31"/>
      <c r="GC100" s="14"/>
      <c r="GD100" s="14"/>
      <c r="GE100" s="14"/>
      <c r="GF100" s="14"/>
      <c r="GG100" s="14"/>
      <c r="GH100" s="14"/>
      <c r="GI100" s="14"/>
      <c r="GJ100" s="14"/>
      <c r="GK100" s="14"/>
      <c r="GL100" s="14"/>
      <c r="GM100" s="14"/>
      <c r="GN100" s="14"/>
      <c r="GO100" s="14"/>
      <c r="GP100" s="14"/>
      <c r="GQ100" s="14"/>
      <c r="GR100" s="14"/>
      <c r="GS100" s="14"/>
      <c r="GT100" s="14"/>
      <c r="GU100" s="14"/>
      <c r="GV100" s="14"/>
      <c r="GW100" s="14"/>
      <c r="GX100" s="14"/>
      <c r="GY100" s="14"/>
      <c r="GZ100" s="14"/>
      <c r="HA100" s="14"/>
    </row>
    <row r="101" ht="30.0" customHeight="1">
      <c r="A101" s="288"/>
      <c r="B101" s="280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289"/>
      <c r="W101" s="289"/>
      <c r="X101" s="289"/>
      <c r="Y101" s="289"/>
      <c r="Z101" s="289"/>
      <c r="AA101" s="289"/>
      <c r="AB101" s="289"/>
      <c r="AC101" s="289"/>
      <c r="AD101" s="289"/>
      <c r="AE101" s="289"/>
      <c r="AF101" s="289"/>
      <c r="AG101" s="289"/>
      <c r="AH101" s="289"/>
      <c r="AI101" s="289"/>
      <c r="AJ101" s="289"/>
      <c r="AK101" s="289"/>
      <c r="AL101" s="289"/>
      <c r="AM101" s="289"/>
      <c r="AN101" s="289"/>
      <c r="AO101" s="289"/>
      <c r="AP101" s="289"/>
      <c r="AQ101" s="289"/>
      <c r="AR101" s="289"/>
      <c r="AS101" s="289"/>
      <c r="AT101" s="289"/>
      <c r="AU101" s="289"/>
      <c r="AV101" s="289"/>
      <c r="AW101" s="289"/>
      <c r="AX101" s="289"/>
      <c r="AY101" s="289"/>
      <c r="AZ101" s="289"/>
      <c r="BA101" s="289"/>
      <c r="BB101" s="289"/>
      <c r="BC101" s="289"/>
      <c r="BD101" s="289"/>
      <c r="BE101" s="289"/>
      <c r="BF101" s="289"/>
      <c r="BG101" s="289"/>
      <c r="BH101" s="289"/>
      <c r="BI101" s="289"/>
      <c r="BJ101" s="289"/>
      <c r="BK101" s="289"/>
      <c r="BL101" s="289"/>
      <c r="BM101" s="282"/>
      <c r="BN101" s="289"/>
      <c r="BO101" s="289"/>
      <c r="BP101" s="289"/>
      <c r="BQ101" s="289"/>
      <c r="BR101" s="289"/>
      <c r="BS101" s="289"/>
      <c r="BT101" s="289"/>
      <c r="BU101" s="289"/>
      <c r="BV101" s="289"/>
      <c r="BW101" s="289"/>
      <c r="BX101" s="289"/>
      <c r="BY101" s="289"/>
      <c r="BZ101" s="289"/>
      <c r="CA101" s="289"/>
      <c r="CB101" s="289"/>
      <c r="CC101" s="289"/>
      <c r="CD101" s="289"/>
      <c r="CE101" s="289"/>
      <c r="CF101" s="289"/>
      <c r="CG101" s="289"/>
      <c r="CH101" s="289"/>
      <c r="CI101" s="289"/>
      <c r="CJ101" s="289"/>
      <c r="CK101" s="289"/>
      <c r="CL101" s="289"/>
      <c r="CM101" s="289"/>
      <c r="CN101" s="289"/>
      <c r="CO101" s="289"/>
      <c r="CP101" s="289"/>
      <c r="CQ101" s="289"/>
      <c r="CR101" s="289"/>
      <c r="CS101" s="289"/>
      <c r="CT101" s="289"/>
      <c r="CU101" s="289"/>
      <c r="CV101" s="289"/>
      <c r="CW101" s="289"/>
      <c r="CX101" s="289"/>
      <c r="CY101" s="289"/>
      <c r="CZ101" s="289"/>
      <c r="DA101" s="289"/>
      <c r="DB101" s="289"/>
      <c r="DC101" s="289"/>
      <c r="DD101" s="289"/>
      <c r="DE101" s="289"/>
      <c r="DF101" s="289"/>
      <c r="DG101" s="289"/>
      <c r="DH101" s="289"/>
      <c r="DI101" s="289"/>
      <c r="DJ101" s="289"/>
      <c r="DK101" s="289"/>
      <c r="DL101" s="289"/>
      <c r="DM101" s="289"/>
      <c r="DN101" s="289"/>
      <c r="DO101" s="289"/>
      <c r="DP101" s="289"/>
      <c r="DQ101" s="289"/>
      <c r="DR101" s="289"/>
      <c r="DS101" s="289"/>
      <c r="DT101" s="289"/>
      <c r="DU101" s="289"/>
      <c r="DV101" s="289"/>
      <c r="DW101" s="289"/>
      <c r="DX101" s="289"/>
      <c r="DY101" s="289"/>
      <c r="DZ101" s="289"/>
      <c r="EA101" s="289"/>
      <c r="EB101" s="289"/>
      <c r="EC101" s="289"/>
      <c r="ED101" s="289"/>
      <c r="EE101" s="289"/>
      <c r="EF101" s="289"/>
      <c r="EG101" s="289"/>
      <c r="EH101" s="289"/>
      <c r="EI101" s="289"/>
      <c r="EJ101" s="289"/>
      <c r="EK101" s="289"/>
      <c r="EL101" s="289"/>
      <c r="EM101" s="289"/>
      <c r="EN101" s="289"/>
      <c r="EO101" s="289"/>
      <c r="EP101" s="289"/>
      <c r="EQ101" s="289"/>
      <c r="ER101" s="289"/>
      <c r="ES101" s="289"/>
      <c r="ET101" s="289"/>
      <c r="EU101" s="289"/>
      <c r="EV101" s="289"/>
      <c r="EW101" s="289"/>
      <c r="EX101" s="289"/>
      <c r="EY101" s="289"/>
      <c r="EZ101" s="290"/>
      <c r="FA101" s="290"/>
      <c r="FB101" s="289"/>
      <c r="FC101" s="289"/>
      <c r="FD101" s="289"/>
      <c r="FE101" s="289"/>
      <c r="FF101" s="289"/>
      <c r="FG101" s="289"/>
      <c r="FH101" s="289"/>
      <c r="FI101" s="289"/>
      <c r="FJ101" s="289"/>
      <c r="FK101" s="289"/>
      <c r="FL101" s="289"/>
      <c r="FM101" s="289"/>
      <c r="FN101" s="289"/>
      <c r="FO101" s="289"/>
      <c r="FP101" s="289"/>
      <c r="FQ101" s="289"/>
      <c r="FR101" s="289"/>
      <c r="FS101" s="289"/>
      <c r="FT101" s="289"/>
      <c r="FU101" s="289"/>
      <c r="FV101" s="289"/>
      <c r="FW101" s="289"/>
      <c r="FX101" s="289"/>
      <c r="FY101" s="289"/>
      <c r="FZ101" s="289"/>
      <c r="GA101" s="289"/>
      <c r="GB101" s="290"/>
      <c r="GC101" s="289"/>
      <c r="GD101" s="289"/>
      <c r="GE101" s="289"/>
      <c r="GF101" s="289"/>
      <c r="GG101" s="289"/>
      <c r="GH101" s="289"/>
      <c r="GI101" s="289"/>
      <c r="GJ101" s="289"/>
      <c r="GK101" s="289"/>
      <c r="GL101" s="289"/>
      <c r="GM101" s="289"/>
      <c r="GN101" s="289"/>
      <c r="GO101" s="289"/>
      <c r="GP101" s="289"/>
      <c r="GQ101" s="289"/>
      <c r="GR101" s="289"/>
      <c r="GS101" s="289"/>
      <c r="GT101" s="289"/>
      <c r="GU101" s="289"/>
      <c r="GV101" s="289"/>
      <c r="GW101" s="289"/>
      <c r="GX101" s="289"/>
      <c r="GY101" s="289"/>
      <c r="GZ101" s="289"/>
      <c r="HA101" s="289"/>
    </row>
    <row r="102" ht="18.0" customHeight="1">
      <c r="A102" s="291"/>
      <c r="B102" s="199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199"/>
      <c r="BN102" s="50"/>
      <c r="BO102" s="50"/>
      <c r="BP102" s="50"/>
      <c r="BQ102" s="50"/>
      <c r="BR102" s="50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50"/>
      <c r="DC102" s="50"/>
      <c r="DD102" s="50"/>
      <c r="DE102" s="50"/>
      <c r="DF102" s="50"/>
      <c r="DG102" s="50"/>
      <c r="DH102" s="50"/>
      <c r="DI102" s="50"/>
      <c r="DJ102" s="50"/>
      <c r="DK102" s="50"/>
      <c r="DL102" s="50"/>
      <c r="DM102" s="50"/>
      <c r="DN102" s="50"/>
      <c r="DO102" s="50"/>
      <c r="DP102" s="50"/>
      <c r="DQ102" s="50"/>
      <c r="DR102" s="50"/>
      <c r="DS102" s="50"/>
      <c r="DT102" s="50"/>
      <c r="DU102" s="50"/>
      <c r="DV102" s="50"/>
      <c r="DW102" s="50"/>
      <c r="DX102" s="50"/>
      <c r="DY102" s="50"/>
      <c r="DZ102" s="50"/>
      <c r="EA102" s="50"/>
      <c r="EB102" s="50"/>
      <c r="EC102" s="50"/>
      <c r="ED102" s="50"/>
      <c r="EE102" s="50"/>
      <c r="EF102" s="50"/>
      <c r="EG102" s="50"/>
      <c r="EH102" s="50"/>
      <c r="EI102" s="50"/>
      <c r="EJ102" s="50"/>
      <c r="EK102" s="50"/>
      <c r="EL102" s="50"/>
      <c r="EM102" s="50"/>
      <c r="EN102" s="50"/>
      <c r="EO102" s="50"/>
      <c r="EP102" s="50"/>
      <c r="EQ102" s="50"/>
      <c r="ER102" s="50"/>
      <c r="ES102" s="50"/>
      <c r="ET102" s="50"/>
      <c r="EU102" s="50"/>
      <c r="EV102" s="50"/>
      <c r="EW102" s="50"/>
      <c r="EX102" s="50"/>
      <c r="EY102" s="50"/>
      <c r="EZ102" s="49"/>
      <c r="FA102" s="49"/>
      <c r="FB102" s="50"/>
      <c r="FC102" s="50"/>
      <c r="FD102" s="50"/>
      <c r="FE102" s="50"/>
      <c r="FF102" s="50"/>
      <c r="FG102" s="50"/>
      <c r="FH102" s="50"/>
      <c r="FI102" s="50"/>
      <c r="FJ102" s="50"/>
      <c r="FK102" s="50"/>
      <c r="FL102" s="50"/>
      <c r="FM102" s="50"/>
      <c r="FN102" s="50"/>
      <c r="FO102" s="50"/>
      <c r="FP102" s="50"/>
      <c r="FQ102" s="50"/>
      <c r="FR102" s="50"/>
      <c r="FS102" s="50"/>
      <c r="FT102" s="50"/>
      <c r="FU102" s="50"/>
      <c r="FV102" s="50"/>
      <c r="FW102" s="50"/>
      <c r="FX102" s="50"/>
      <c r="FY102" s="50"/>
      <c r="FZ102" s="50"/>
      <c r="GA102" s="50"/>
      <c r="GB102" s="49"/>
      <c r="GC102" s="50"/>
      <c r="GD102" s="50"/>
      <c r="GE102" s="50"/>
      <c r="GF102" s="50"/>
      <c r="GG102" s="50"/>
      <c r="GH102" s="50"/>
      <c r="GI102" s="50"/>
      <c r="GJ102" s="50"/>
      <c r="GK102" s="50"/>
      <c r="GL102" s="50"/>
      <c r="GM102" s="50"/>
      <c r="GN102" s="50"/>
      <c r="GO102" s="50"/>
      <c r="GP102" s="50"/>
      <c r="GQ102" s="50"/>
      <c r="GR102" s="50"/>
      <c r="GS102" s="50"/>
      <c r="GT102" s="50"/>
      <c r="GU102" s="50"/>
      <c r="GV102" s="50"/>
      <c r="GW102" s="50"/>
      <c r="GX102" s="50"/>
      <c r="GY102" s="50"/>
      <c r="GZ102" s="50"/>
      <c r="HA102" s="50"/>
    </row>
    <row r="103" ht="18.0" customHeight="1">
      <c r="A103" s="1"/>
      <c r="B103" s="283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282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31"/>
      <c r="FA103" s="31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31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</row>
    <row r="104" ht="18.0" customHeight="1">
      <c r="A104" s="1"/>
      <c r="B104" s="283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282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31"/>
      <c r="FA104" s="31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31"/>
      <c r="GC104" s="14"/>
      <c r="GD104" s="14"/>
      <c r="GE104" s="14"/>
      <c r="GF104" s="14"/>
      <c r="GG104" s="14"/>
      <c r="GH104" s="14"/>
      <c r="GI104" s="14"/>
      <c r="GJ104" s="14"/>
      <c r="GK104" s="14"/>
      <c r="GL104" s="14"/>
      <c r="GM104" s="14"/>
      <c r="GN104" s="14"/>
      <c r="GO104" s="14"/>
      <c r="GP104" s="14"/>
      <c r="GQ104" s="14"/>
      <c r="GR104" s="14"/>
      <c r="GS104" s="14"/>
      <c r="GT104" s="14"/>
      <c r="GU104" s="14"/>
      <c r="GV104" s="14"/>
      <c r="GW104" s="14"/>
      <c r="GX104" s="14"/>
      <c r="GY104" s="14"/>
      <c r="GZ104" s="14"/>
      <c r="HA104" s="14"/>
    </row>
    <row r="105" ht="18.0" customHeight="1">
      <c r="A105" s="1"/>
      <c r="B105" s="28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282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31"/>
      <c r="FA105" s="31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31"/>
      <c r="GC105" s="14"/>
      <c r="GD105" s="14"/>
      <c r="GE105" s="14"/>
      <c r="GF105" s="14"/>
      <c r="GG105" s="14"/>
      <c r="GH105" s="14"/>
      <c r="GI105" s="14"/>
      <c r="GJ105" s="14"/>
      <c r="GK105" s="14"/>
      <c r="GL105" s="14"/>
      <c r="GM105" s="14"/>
      <c r="GN105" s="14"/>
      <c r="GO105" s="14"/>
      <c r="GP105" s="14"/>
      <c r="GQ105" s="14"/>
      <c r="GR105" s="14"/>
      <c r="GS105" s="14"/>
      <c r="GT105" s="14"/>
      <c r="GU105" s="14"/>
      <c r="GV105" s="14"/>
      <c r="GW105" s="14"/>
      <c r="GX105" s="14"/>
      <c r="GY105" s="14"/>
      <c r="GZ105" s="14"/>
      <c r="HA105" s="14"/>
    </row>
    <row r="106" ht="18.0" customHeight="1">
      <c r="A106" s="1"/>
      <c r="B106" s="28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282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31"/>
      <c r="FA106" s="31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31"/>
      <c r="GC106" s="14"/>
      <c r="GD106" s="14"/>
      <c r="GE106" s="14"/>
      <c r="GF106" s="14"/>
      <c r="GG106" s="14"/>
      <c r="GH106" s="14"/>
      <c r="GI106" s="14"/>
      <c r="GJ106" s="14"/>
      <c r="GK106" s="14"/>
      <c r="GL106" s="14"/>
      <c r="GM106" s="14"/>
      <c r="GN106" s="14"/>
      <c r="GO106" s="14"/>
      <c r="GP106" s="14"/>
      <c r="GQ106" s="14"/>
      <c r="GR106" s="14"/>
      <c r="GS106" s="14"/>
      <c r="GT106" s="14"/>
      <c r="GU106" s="14"/>
      <c r="GV106" s="14"/>
      <c r="GW106" s="14"/>
      <c r="GX106" s="14"/>
      <c r="GY106" s="14"/>
      <c r="GZ106" s="14"/>
      <c r="HA106" s="14"/>
    </row>
    <row r="107" ht="18.0" customHeight="1">
      <c r="A107" s="1"/>
      <c r="B107" s="283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282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31"/>
      <c r="FA107" s="31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31"/>
      <c r="GC107" s="14"/>
      <c r="GD107" s="14"/>
      <c r="GE107" s="14"/>
      <c r="GF107" s="14"/>
      <c r="GG107" s="14"/>
      <c r="GH107" s="14"/>
      <c r="GI107" s="14"/>
      <c r="GJ107" s="14"/>
      <c r="GK107" s="14"/>
      <c r="GL107" s="14"/>
      <c r="GM107" s="14"/>
      <c r="GN107" s="14"/>
      <c r="GO107" s="14"/>
      <c r="GP107" s="14"/>
      <c r="GQ107" s="14"/>
      <c r="GR107" s="14"/>
      <c r="GS107" s="14"/>
      <c r="GT107" s="14"/>
      <c r="GU107" s="14"/>
      <c r="GV107" s="14"/>
      <c r="GW107" s="14"/>
      <c r="GX107" s="14"/>
      <c r="GY107" s="14"/>
      <c r="GZ107" s="14"/>
      <c r="HA107" s="14"/>
    </row>
    <row r="108" ht="18.0" customHeight="1">
      <c r="A108" s="1"/>
      <c r="B108" s="28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282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31"/>
      <c r="FA108" s="31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31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</row>
    <row r="109" ht="18.0" customHeight="1">
      <c r="A109" s="1"/>
      <c r="B109" s="283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282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31"/>
      <c r="FA109" s="31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31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</row>
    <row r="110" ht="18.0" customHeight="1">
      <c r="A110" s="1"/>
      <c r="B110" s="28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282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31"/>
      <c r="FA110" s="31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31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</row>
    <row r="111" ht="18.0" customHeight="1">
      <c r="A111" s="1"/>
      <c r="B111" s="283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282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31"/>
      <c r="FA111" s="31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31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</row>
    <row r="112" ht="18.0" customHeight="1">
      <c r="A112" s="1"/>
      <c r="B112" s="28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282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31"/>
      <c r="FA112" s="31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31"/>
      <c r="GC112" s="14"/>
      <c r="GD112" s="14"/>
      <c r="GE112" s="14"/>
      <c r="GF112" s="14"/>
      <c r="GG112" s="14"/>
      <c r="GH112" s="14"/>
      <c r="GI112" s="14"/>
      <c r="GJ112" s="14"/>
      <c r="GK112" s="14"/>
      <c r="GL112" s="14"/>
      <c r="GM112" s="14"/>
      <c r="GN112" s="14"/>
      <c r="GO112" s="14"/>
      <c r="GP112" s="14"/>
      <c r="GQ112" s="14"/>
      <c r="GR112" s="14"/>
      <c r="GS112" s="14"/>
      <c r="GT112" s="14"/>
      <c r="GU112" s="14"/>
      <c r="GV112" s="14"/>
      <c r="GW112" s="14"/>
      <c r="GX112" s="14"/>
      <c r="GY112" s="14"/>
      <c r="GZ112" s="14"/>
      <c r="HA112" s="14"/>
    </row>
    <row r="113" ht="18.0" customHeight="1">
      <c r="A113" s="1"/>
      <c r="B113" s="283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282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31"/>
      <c r="FA113" s="31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31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</row>
    <row r="114" ht="18.0" customHeight="1">
      <c r="A114" s="1"/>
      <c r="B114" s="28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282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31"/>
      <c r="FA114" s="31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31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</row>
    <row r="115" ht="18.0" hidden="1" customHeight="1">
      <c r="A115" s="1"/>
      <c r="B115" s="28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282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31"/>
      <c r="FA115" s="31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31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</row>
    <row r="116" ht="18.0" hidden="1" customHeight="1">
      <c r="A116" s="1"/>
      <c r="B116" s="28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282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31"/>
      <c r="FA116" s="31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31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</row>
    <row r="117" ht="18.0" customHeight="1">
      <c r="A117" s="1"/>
      <c r="B117" s="283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282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31"/>
      <c r="FA117" s="31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31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</row>
    <row r="118" ht="18.0" customHeight="1">
      <c r="A118" s="1"/>
      <c r="B118" s="28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282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31"/>
      <c r="FA118" s="31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31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</row>
    <row r="119" ht="18.0" customHeight="1">
      <c r="A119" s="1"/>
      <c r="B119" s="283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282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31"/>
      <c r="FA119" s="31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31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</row>
    <row r="120" ht="18.0" customHeight="1">
      <c r="A120" s="1"/>
      <c r="B120" s="28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282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31"/>
      <c r="FA120" s="31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31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</row>
    <row r="121" ht="18.0" customHeight="1">
      <c r="A121" s="1"/>
      <c r="B121" s="28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282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31"/>
      <c r="FA121" s="31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31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</row>
    <row r="122" ht="18.0" customHeight="1">
      <c r="A122" s="1"/>
      <c r="B122" s="28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282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31"/>
      <c r="FA122" s="31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31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</row>
    <row r="123" ht="18.0" customHeight="1">
      <c r="A123" s="1"/>
      <c r="B123" s="9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282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31"/>
      <c r="FA123" s="31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31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</row>
    <row r="124" ht="30.0" customHeight="1">
      <c r="A124" s="1"/>
      <c r="B124" s="280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282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31"/>
      <c r="FA124" s="31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31"/>
      <c r="GC124" s="14"/>
      <c r="GD124" s="14"/>
      <c r="GE124" s="14"/>
      <c r="GF124" s="14"/>
      <c r="GG124" s="14"/>
      <c r="GH124" s="14"/>
      <c r="GI124" s="14"/>
      <c r="GJ124" s="14"/>
      <c r="GK124" s="14"/>
      <c r="GL124" s="14"/>
      <c r="GM124" s="14"/>
      <c r="GN124" s="14"/>
      <c r="GO124" s="14"/>
      <c r="GP124" s="14"/>
      <c r="GQ124" s="14"/>
      <c r="GR124" s="14"/>
      <c r="GS124" s="14"/>
      <c r="GT124" s="14"/>
      <c r="GU124" s="14"/>
      <c r="GV124" s="14"/>
      <c r="GW124" s="14"/>
      <c r="GX124" s="14"/>
      <c r="GY124" s="14"/>
      <c r="GZ124" s="14"/>
      <c r="HA124" s="14"/>
    </row>
    <row r="125" ht="18.0" customHeight="1">
      <c r="A125" s="291"/>
      <c r="B125" s="199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292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199"/>
      <c r="BN125" s="50"/>
      <c r="BO125" s="50"/>
      <c r="BP125" s="50"/>
      <c r="BQ125" s="50"/>
      <c r="BR125" s="50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CG125" s="50"/>
      <c r="CH125" s="50"/>
      <c r="CI125" s="50"/>
      <c r="CJ125" s="50"/>
      <c r="CK125" s="50"/>
      <c r="CL125" s="50"/>
      <c r="CM125" s="50"/>
      <c r="CN125" s="50"/>
      <c r="CO125" s="50"/>
      <c r="CP125" s="50"/>
      <c r="CQ125" s="50"/>
      <c r="CR125" s="50"/>
      <c r="CS125" s="50"/>
      <c r="CT125" s="50"/>
      <c r="CU125" s="50"/>
      <c r="CV125" s="50"/>
      <c r="CW125" s="50"/>
      <c r="CX125" s="50"/>
      <c r="CY125" s="50"/>
      <c r="CZ125" s="50"/>
      <c r="DA125" s="50"/>
      <c r="DB125" s="50"/>
      <c r="DC125" s="50"/>
      <c r="DD125" s="50"/>
      <c r="DE125" s="50"/>
      <c r="DF125" s="50"/>
      <c r="DG125" s="50"/>
      <c r="DH125" s="50"/>
      <c r="DI125" s="50"/>
      <c r="DJ125" s="50"/>
      <c r="DK125" s="50"/>
      <c r="DL125" s="50"/>
      <c r="DM125" s="50"/>
      <c r="DN125" s="50"/>
      <c r="DO125" s="50"/>
      <c r="DP125" s="50"/>
      <c r="DQ125" s="50"/>
      <c r="DR125" s="50"/>
      <c r="DS125" s="50"/>
      <c r="DT125" s="50"/>
      <c r="DU125" s="50"/>
      <c r="DV125" s="50"/>
      <c r="DW125" s="50"/>
      <c r="DX125" s="50"/>
      <c r="DY125" s="50"/>
      <c r="DZ125" s="50"/>
      <c r="EA125" s="50"/>
      <c r="EB125" s="50"/>
      <c r="EC125" s="50"/>
      <c r="ED125" s="50"/>
      <c r="EE125" s="50"/>
      <c r="EF125" s="50"/>
      <c r="EG125" s="50"/>
      <c r="EH125" s="50"/>
      <c r="EI125" s="50"/>
      <c r="EJ125" s="50"/>
      <c r="EK125" s="50"/>
      <c r="EL125" s="50"/>
      <c r="EM125" s="50"/>
      <c r="EN125" s="50"/>
      <c r="EO125" s="50"/>
      <c r="EP125" s="50"/>
      <c r="EQ125" s="50"/>
      <c r="ER125" s="50"/>
      <c r="ES125" s="50"/>
      <c r="ET125" s="50"/>
      <c r="EU125" s="50"/>
      <c r="EV125" s="50"/>
      <c r="EW125" s="50"/>
      <c r="EX125" s="50"/>
      <c r="EY125" s="50"/>
      <c r="EZ125" s="49"/>
      <c r="FA125" s="49"/>
      <c r="FB125" s="50"/>
      <c r="FC125" s="50"/>
      <c r="FD125" s="50"/>
      <c r="FE125" s="50"/>
      <c r="FF125" s="50"/>
      <c r="FG125" s="50"/>
      <c r="FH125" s="50"/>
      <c r="FI125" s="50"/>
      <c r="FJ125" s="50"/>
      <c r="FK125" s="50"/>
      <c r="FL125" s="50"/>
      <c r="FM125" s="50"/>
      <c r="FN125" s="50"/>
      <c r="FO125" s="50"/>
      <c r="FP125" s="50"/>
      <c r="FQ125" s="50"/>
      <c r="FR125" s="50"/>
      <c r="FS125" s="50"/>
      <c r="FT125" s="50"/>
      <c r="FU125" s="50"/>
      <c r="FV125" s="50"/>
      <c r="FW125" s="50"/>
      <c r="FX125" s="50"/>
      <c r="FY125" s="50"/>
      <c r="FZ125" s="50"/>
      <c r="GA125" s="50"/>
      <c r="GB125" s="49"/>
      <c r="GC125" s="50"/>
      <c r="GD125" s="50"/>
      <c r="GE125" s="50"/>
      <c r="GF125" s="50"/>
      <c r="GG125" s="50"/>
      <c r="GH125" s="50"/>
      <c r="GI125" s="50"/>
      <c r="GJ125" s="50"/>
      <c r="GK125" s="50"/>
      <c r="GL125" s="50"/>
      <c r="GM125" s="50"/>
      <c r="GN125" s="50"/>
      <c r="GO125" s="50"/>
      <c r="GP125" s="50"/>
      <c r="GQ125" s="50"/>
      <c r="GR125" s="50"/>
      <c r="GS125" s="50"/>
      <c r="GT125" s="50"/>
      <c r="GU125" s="50"/>
      <c r="GV125" s="50"/>
      <c r="GW125" s="50"/>
      <c r="GX125" s="50"/>
      <c r="GY125" s="50"/>
      <c r="GZ125" s="50"/>
      <c r="HA125" s="50"/>
    </row>
    <row r="126" ht="18.0" customHeight="1">
      <c r="A126" s="1"/>
      <c r="B126" s="283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282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31"/>
      <c r="FA126" s="31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31"/>
      <c r="GC126" s="14"/>
      <c r="GD126" s="14"/>
      <c r="GE126" s="14"/>
      <c r="GF126" s="14"/>
      <c r="GG126" s="14"/>
      <c r="GH126" s="14"/>
      <c r="GI126" s="14"/>
      <c r="GJ126" s="14"/>
      <c r="GK126" s="14"/>
      <c r="GL126" s="14"/>
      <c r="GM126" s="14"/>
      <c r="GN126" s="14"/>
      <c r="GO126" s="14"/>
      <c r="GP126" s="14"/>
      <c r="GQ126" s="14"/>
      <c r="GR126" s="14"/>
      <c r="GS126" s="14"/>
      <c r="GT126" s="14"/>
      <c r="GU126" s="14"/>
      <c r="GV126" s="14"/>
      <c r="GW126" s="14"/>
      <c r="GX126" s="14"/>
      <c r="GY126" s="14"/>
      <c r="GZ126" s="14"/>
      <c r="HA126" s="14"/>
    </row>
    <row r="127" ht="18.0" customHeight="1">
      <c r="A127" s="1"/>
      <c r="B127" s="28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282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31"/>
      <c r="FA127" s="31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31"/>
      <c r="GC127" s="14"/>
      <c r="GD127" s="14"/>
      <c r="GE127" s="14"/>
      <c r="GF127" s="14"/>
      <c r="GG127" s="14"/>
      <c r="GH127" s="14"/>
      <c r="GI127" s="14"/>
      <c r="GJ127" s="14"/>
      <c r="GK127" s="14"/>
      <c r="GL127" s="14"/>
      <c r="GM127" s="14"/>
      <c r="GN127" s="14"/>
      <c r="GO127" s="14"/>
      <c r="GP127" s="14"/>
      <c r="GQ127" s="14"/>
      <c r="GR127" s="14"/>
      <c r="GS127" s="14"/>
      <c r="GT127" s="14"/>
      <c r="GU127" s="14"/>
      <c r="GV127" s="14"/>
      <c r="GW127" s="14"/>
      <c r="GX127" s="14"/>
      <c r="GY127" s="14"/>
      <c r="GZ127" s="14"/>
      <c r="HA127" s="14"/>
    </row>
    <row r="128" ht="18.0" customHeight="1">
      <c r="A128" s="1"/>
      <c r="B128" s="28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282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31"/>
      <c r="FA128" s="31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31"/>
      <c r="GC128" s="14"/>
      <c r="GD128" s="14"/>
      <c r="GE128" s="14"/>
      <c r="GF128" s="14"/>
      <c r="GG128" s="14"/>
      <c r="GH128" s="14"/>
      <c r="GI128" s="14"/>
      <c r="GJ128" s="14"/>
      <c r="GK128" s="14"/>
      <c r="GL128" s="14"/>
      <c r="GM128" s="14"/>
      <c r="GN128" s="14"/>
      <c r="GO128" s="14"/>
      <c r="GP128" s="14"/>
      <c r="GQ128" s="14"/>
      <c r="GR128" s="14"/>
      <c r="GS128" s="14"/>
      <c r="GT128" s="14"/>
      <c r="GU128" s="14"/>
      <c r="GV128" s="14"/>
      <c r="GW128" s="14"/>
      <c r="GX128" s="14"/>
      <c r="GY128" s="14"/>
      <c r="GZ128" s="14"/>
      <c r="HA128" s="14"/>
    </row>
    <row r="129" ht="18.0" customHeight="1">
      <c r="A129" s="1"/>
      <c r="B129" s="28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282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31"/>
      <c r="FA129" s="31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31"/>
      <c r="GC129" s="14"/>
      <c r="GD129" s="14"/>
      <c r="GE129" s="14"/>
      <c r="GF129" s="14"/>
      <c r="GG129" s="14"/>
      <c r="GH129" s="14"/>
      <c r="GI129" s="14"/>
      <c r="GJ129" s="14"/>
      <c r="GK129" s="14"/>
      <c r="GL129" s="14"/>
      <c r="GM129" s="14"/>
      <c r="GN129" s="14"/>
      <c r="GO129" s="14"/>
      <c r="GP129" s="14"/>
      <c r="GQ129" s="14"/>
      <c r="GR129" s="14"/>
      <c r="GS129" s="14"/>
      <c r="GT129" s="14"/>
      <c r="GU129" s="14"/>
      <c r="GV129" s="14"/>
      <c r="GW129" s="14"/>
      <c r="GX129" s="14"/>
      <c r="GY129" s="14"/>
      <c r="GZ129" s="14"/>
      <c r="HA129" s="14"/>
    </row>
    <row r="130" ht="18.0" customHeight="1">
      <c r="A130" s="1"/>
      <c r="B130" s="283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282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31"/>
      <c r="FA130" s="31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31"/>
      <c r="GC130" s="14"/>
      <c r="GD130" s="14"/>
      <c r="GE130" s="14"/>
      <c r="GF130" s="14"/>
      <c r="GG130" s="14"/>
      <c r="GH130" s="14"/>
      <c r="GI130" s="14"/>
      <c r="GJ130" s="14"/>
      <c r="GK130" s="14"/>
      <c r="GL130" s="14"/>
      <c r="GM130" s="14"/>
      <c r="GN130" s="14"/>
      <c r="GO130" s="14"/>
      <c r="GP130" s="14"/>
      <c r="GQ130" s="14"/>
      <c r="GR130" s="14"/>
      <c r="GS130" s="14"/>
      <c r="GT130" s="14"/>
      <c r="GU130" s="14"/>
      <c r="GV130" s="14"/>
      <c r="GW130" s="14"/>
      <c r="GX130" s="14"/>
      <c r="GY130" s="14"/>
      <c r="GZ130" s="14"/>
      <c r="HA130" s="14"/>
    </row>
    <row r="131" ht="18.0" customHeight="1">
      <c r="A131" s="1"/>
      <c r="B131" s="28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282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31"/>
      <c r="FA131" s="31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31"/>
      <c r="GC131" s="14"/>
      <c r="GD131" s="14"/>
      <c r="GE131" s="14"/>
      <c r="GF131" s="14"/>
      <c r="GG131" s="14"/>
      <c r="GH131" s="14"/>
      <c r="GI131" s="14"/>
      <c r="GJ131" s="14"/>
      <c r="GK131" s="14"/>
      <c r="GL131" s="14"/>
      <c r="GM131" s="14"/>
      <c r="GN131" s="14"/>
      <c r="GO131" s="14"/>
      <c r="GP131" s="14"/>
      <c r="GQ131" s="14"/>
      <c r="GR131" s="14"/>
      <c r="GS131" s="14"/>
      <c r="GT131" s="14"/>
      <c r="GU131" s="14"/>
      <c r="GV131" s="14"/>
      <c r="GW131" s="14"/>
      <c r="GX131" s="14"/>
      <c r="GY131" s="14"/>
      <c r="GZ131" s="14"/>
      <c r="HA131" s="14"/>
    </row>
    <row r="132" ht="18.0" customHeight="1">
      <c r="A132" s="1"/>
      <c r="B132" s="283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282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31"/>
      <c r="FA132" s="31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31"/>
      <c r="GC132" s="14"/>
      <c r="GD132" s="14"/>
      <c r="GE132" s="14"/>
      <c r="GF132" s="14"/>
      <c r="GG132" s="14"/>
      <c r="GH132" s="14"/>
      <c r="GI132" s="14"/>
      <c r="GJ132" s="14"/>
      <c r="GK132" s="14"/>
      <c r="GL132" s="14"/>
      <c r="GM132" s="14"/>
      <c r="GN132" s="14"/>
      <c r="GO132" s="14"/>
      <c r="GP132" s="14"/>
      <c r="GQ132" s="14"/>
      <c r="GR132" s="14"/>
      <c r="GS132" s="14"/>
      <c r="GT132" s="14"/>
      <c r="GU132" s="14"/>
      <c r="GV132" s="14"/>
      <c r="GW132" s="14"/>
      <c r="GX132" s="14"/>
      <c r="GY132" s="14"/>
      <c r="GZ132" s="14"/>
      <c r="HA132" s="14"/>
    </row>
    <row r="133" ht="18.0" customHeight="1">
      <c r="A133" s="1"/>
      <c r="B133" s="28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293"/>
      <c r="AO133" s="293"/>
      <c r="AP133" s="286"/>
      <c r="AQ133" s="286"/>
      <c r="AR133" s="286"/>
      <c r="AS133" s="286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282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31"/>
      <c r="FA133" s="31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31"/>
      <c r="GC133" s="14"/>
      <c r="GD133" s="14"/>
      <c r="GE133" s="14"/>
      <c r="GF133" s="14"/>
      <c r="GG133" s="14"/>
      <c r="GH133" s="14"/>
      <c r="GI133" s="14"/>
      <c r="GJ133" s="14"/>
      <c r="GK133" s="14"/>
      <c r="GL133" s="14"/>
      <c r="GM133" s="14"/>
      <c r="GN133" s="14"/>
      <c r="GO133" s="14"/>
      <c r="GP133" s="14"/>
      <c r="GQ133" s="14"/>
      <c r="GR133" s="14"/>
      <c r="GS133" s="14"/>
      <c r="GT133" s="14"/>
      <c r="GU133" s="14"/>
      <c r="GV133" s="14"/>
      <c r="GW133" s="14"/>
      <c r="GX133" s="14"/>
      <c r="GY133" s="14"/>
      <c r="GZ133" s="14"/>
      <c r="HA133" s="14"/>
    </row>
    <row r="134" ht="18.0" customHeight="1">
      <c r="A134" s="1"/>
      <c r="B134" s="283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282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31"/>
      <c r="FA134" s="31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31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</row>
    <row r="135" ht="18.0" customHeight="1">
      <c r="A135" s="1"/>
      <c r="B135" s="28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282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31"/>
      <c r="FA135" s="31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31"/>
      <c r="GC135" s="14"/>
      <c r="GD135" s="14"/>
      <c r="GE135" s="14"/>
      <c r="GF135" s="14"/>
      <c r="GG135" s="14"/>
      <c r="GH135" s="14"/>
      <c r="GI135" s="14"/>
      <c r="GJ135" s="14"/>
      <c r="GK135" s="14"/>
      <c r="GL135" s="14"/>
      <c r="GM135" s="14"/>
      <c r="GN135" s="14"/>
      <c r="GO135" s="14"/>
      <c r="GP135" s="14"/>
      <c r="GQ135" s="14"/>
      <c r="GR135" s="14"/>
      <c r="GS135" s="14"/>
      <c r="GT135" s="14"/>
      <c r="GU135" s="14"/>
      <c r="GV135" s="14"/>
      <c r="GW135" s="14"/>
      <c r="GX135" s="14"/>
      <c r="GY135" s="14"/>
      <c r="GZ135" s="14"/>
      <c r="HA135" s="14"/>
    </row>
    <row r="136" ht="18.0" customHeight="1">
      <c r="A136" s="1"/>
      <c r="B136" s="283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282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31"/>
      <c r="FA136" s="31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31"/>
      <c r="GC136" s="14"/>
      <c r="GD136" s="14"/>
      <c r="GE136" s="14"/>
      <c r="GF136" s="14"/>
      <c r="GG136" s="14"/>
      <c r="GH136" s="14"/>
      <c r="GI136" s="14"/>
      <c r="GJ136" s="14"/>
      <c r="GK136" s="14"/>
      <c r="GL136" s="14"/>
      <c r="GM136" s="14"/>
      <c r="GN136" s="14"/>
      <c r="GO136" s="14"/>
      <c r="GP136" s="14"/>
      <c r="GQ136" s="14"/>
      <c r="GR136" s="14"/>
      <c r="GS136" s="14"/>
      <c r="GT136" s="14"/>
      <c r="GU136" s="14"/>
      <c r="GV136" s="14"/>
      <c r="GW136" s="14"/>
      <c r="GX136" s="14"/>
      <c r="GY136" s="14"/>
      <c r="GZ136" s="14"/>
      <c r="HA136" s="14"/>
    </row>
    <row r="137" ht="18.0" customHeight="1">
      <c r="A137" s="1"/>
      <c r="B137" s="28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282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31"/>
      <c r="FA137" s="31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31"/>
      <c r="GC137" s="14"/>
      <c r="GD137" s="14"/>
      <c r="GE137" s="14"/>
      <c r="GF137" s="14"/>
      <c r="GG137" s="14"/>
      <c r="GH137" s="14"/>
      <c r="GI137" s="14"/>
      <c r="GJ137" s="14"/>
      <c r="GK137" s="14"/>
      <c r="GL137" s="14"/>
      <c r="GM137" s="14"/>
      <c r="GN137" s="14"/>
      <c r="GO137" s="14"/>
      <c r="GP137" s="14"/>
      <c r="GQ137" s="14"/>
      <c r="GR137" s="14"/>
      <c r="GS137" s="14"/>
      <c r="GT137" s="14"/>
      <c r="GU137" s="14"/>
      <c r="GV137" s="14"/>
      <c r="GW137" s="14"/>
      <c r="GX137" s="14"/>
      <c r="GY137" s="14"/>
      <c r="GZ137" s="14"/>
      <c r="HA137" s="14"/>
    </row>
    <row r="138" ht="18.0" customHeight="1">
      <c r="A138" s="1"/>
      <c r="B138" s="283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282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31"/>
      <c r="FA138" s="31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31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</row>
    <row r="139" ht="18.0" customHeight="1">
      <c r="A139" s="1"/>
      <c r="B139" s="28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282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31"/>
      <c r="FA139" s="31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31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</row>
    <row r="140" ht="18.0" customHeight="1">
      <c r="A140" s="1"/>
      <c r="B140" s="283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282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31"/>
      <c r="FA140" s="31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31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</row>
    <row r="141" ht="18.0" customHeight="1">
      <c r="A141" s="1"/>
      <c r="B141" s="28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282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31"/>
      <c r="FA141" s="31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31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</row>
    <row r="142" ht="18.0" customHeight="1">
      <c r="A142" s="1"/>
      <c r="B142" s="28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282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31"/>
      <c r="FA142" s="31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31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</row>
    <row r="143" ht="18.0" customHeight="1">
      <c r="A143" s="1"/>
      <c r="B143" s="28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282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31"/>
      <c r="FA143" s="31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31"/>
      <c r="GC143" s="14"/>
      <c r="GD143" s="14"/>
      <c r="GE143" s="14"/>
      <c r="GF143" s="14"/>
      <c r="GG143" s="14"/>
      <c r="GH143" s="14"/>
      <c r="GI143" s="14"/>
      <c r="GJ143" s="14"/>
      <c r="GK143" s="14"/>
      <c r="GL143" s="14"/>
      <c r="GM143" s="14"/>
      <c r="GN143" s="14"/>
      <c r="GO143" s="14"/>
      <c r="GP143" s="14"/>
      <c r="GQ143" s="14"/>
      <c r="GR143" s="14"/>
      <c r="GS143" s="14"/>
      <c r="GT143" s="14"/>
      <c r="GU143" s="14"/>
      <c r="GV143" s="14"/>
      <c r="GW143" s="14"/>
      <c r="GX143" s="14"/>
      <c r="GY143" s="14"/>
      <c r="GZ143" s="14"/>
      <c r="HA143" s="14"/>
    </row>
    <row r="144" ht="18.0" customHeight="1">
      <c r="A144" s="1"/>
      <c r="B144" s="28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282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31"/>
      <c r="FA144" s="31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31"/>
      <c r="GC144" s="14"/>
      <c r="GD144" s="14"/>
      <c r="GE144" s="14"/>
      <c r="GF144" s="14"/>
      <c r="GG144" s="14"/>
      <c r="GH144" s="14"/>
      <c r="GI144" s="14"/>
      <c r="GJ144" s="14"/>
      <c r="GK144" s="14"/>
      <c r="GL144" s="14"/>
      <c r="GM144" s="14"/>
      <c r="GN144" s="14"/>
      <c r="GO144" s="14"/>
      <c r="GP144" s="14"/>
      <c r="GQ144" s="14"/>
      <c r="GR144" s="14"/>
      <c r="GS144" s="14"/>
      <c r="GT144" s="14"/>
      <c r="GU144" s="14"/>
      <c r="GV144" s="14"/>
      <c r="GW144" s="14"/>
      <c r="GX144" s="14"/>
      <c r="GY144" s="14"/>
      <c r="GZ144" s="14"/>
      <c r="HA144" s="14"/>
    </row>
    <row r="145" ht="18.0" customHeight="1">
      <c r="A145" s="1"/>
      <c r="B145" s="283"/>
      <c r="C145" s="94"/>
      <c r="D145" s="287"/>
      <c r="E145" s="287"/>
      <c r="F145" s="287"/>
      <c r="G145" s="287"/>
      <c r="H145" s="287"/>
      <c r="I145" s="94"/>
      <c r="J145" s="94"/>
      <c r="K145" s="287"/>
      <c r="L145" s="287"/>
      <c r="M145" s="287"/>
      <c r="N145" s="287"/>
      <c r="O145" s="287"/>
      <c r="P145" s="94"/>
      <c r="Q145" s="94"/>
      <c r="R145" s="287"/>
      <c r="S145" s="287"/>
      <c r="T145" s="287"/>
      <c r="U145" s="287"/>
      <c r="V145" s="287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282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31"/>
      <c r="FA145" s="31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31"/>
      <c r="GC145" s="14"/>
      <c r="GD145" s="14"/>
      <c r="GE145" s="14"/>
      <c r="GF145" s="14"/>
      <c r="GG145" s="14"/>
      <c r="GH145" s="14"/>
      <c r="GI145" s="14"/>
      <c r="GJ145" s="14"/>
      <c r="GK145" s="14"/>
      <c r="GL145" s="14"/>
      <c r="GM145" s="14"/>
      <c r="GN145" s="14"/>
      <c r="GO145" s="14"/>
      <c r="GP145" s="14"/>
      <c r="GQ145" s="14"/>
      <c r="GR145" s="14"/>
      <c r="GS145" s="14"/>
      <c r="GT145" s="14"/>
      <c r="GU145" s="14"/>
      <c r="GV145" s="14"/>
      <c r="GW145" s="14"/>
      <c r="GX145" s="14"/>
      <c r="GY145" s="14"/>
      <c r="GZ145" s="14"/>
      <c r="HA145" s="14"/>
    </row>
    <row r="146" ht="18.0" customHeight="1">
      <c r="A146" s="1"/>
      <c r="B146" s="28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282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31"/>
      <c r="FA146" s="31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31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</row>
    <row r="147" ht="18.0" customHeight="1">
      <c r="A147" s="1"/>
      <c r="B147" s="283"/>
      <c r="C147" s="94"/>
      <c r="D147" s="287"/>
      <c r="E147" s="287"/>
      <c r="F147" s="287"/>
      <c r="G147" s="287"/>
      <c r="H147" s="287"/>
      <c r="I147" s="94"/>
      <c r="J147" s="94"/>
      <c r="K147" s="287"/>
      <c r="L147" s="287"/>
      <c r="M147" s="287"/>
      <c r="N147" s="287"/>
      <c r="O147" s="287"/>
      <c r="P147" s="94"/>
      <c r="Q147" s="94"/>
      <c r="R147" s="287"/>
      <c r="S147" s="287"/>
      <c r="T147" s="287"/>
      <c r="U147" s="287"/>
      <c r="V147" s="287"/>
      <c r="W147" s="94"/>
      <c r="X147" s="94"/>
      <c r="Y147" s="94"/>
      <c r="Z147" s="94"/>
      <c r="AA147" s="94"/>
      <c r="AB147" s="94"/>
      <c r="AC147" s="294"/>
      <c r="AD147" s="94"/>
      <c r="AE147" s="94"/>
      <c r="AF147" s="94"/>
      <c r="AG147" s="200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282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31"/>
      <c r="FA147" s="31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31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</row>
    <row r="148" ht="18.0" customHeight="1">
      <c r="A148" s="1"/>
      <c r="B148" s="28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294"/>
      <c r="AD148" s="94"/>
      <c r="AE148" s="94"/>
      <c r="AF148" s="94"/>
      <c r="AG148" s="295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282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31"/>
      <c r="FA148" s="31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31"/>
      <c r="GC148" s="14"/>
      <c r="GD148" s="14"/>
      <c r="GE148" s="14"/>
      <c r="GF148" s="14"/>
      <c r="GG148" s="14"/>
      <c r="GH148" s="14"/>
      <c r="GI148" s="14"/>
      <c r="GJ148" s="14"/>
      <c r="GK148" s="14"/>
      <c r="GL148" s="14"/>
      <c r="GM148" s="14"/>
      <c r="GN148" s="14"/>
      <c r="GO148" s="14"/>
      <c r="GP148" s="14"/>
      <c r="GQ148" s="14"/>
      <c r="GR148" s="14"/>
      <c r="GS148" s="14"/>
      <c r="GT148" s="14"/>
      <c r="GU148" s="14"/>
      <c r="GV148" s="14"/>
      <c r="GW148" s="14"/>
      <c r="GX148" s="14"/>
      <c r="GY148" s="14"/>
      <c r="GZ148" s="14"/>
      <c r="HA148" s="14"/>
    </row>
    <row r="149" ht="18.0" customHeight="1">
      <c r="A149" s="1"/>
      <c r="B149" s="283"/>
      <c r="C149" s="94"/>
      <c r="D149" s="287"/>
      <c r="E149" s="287"/>
      <c r="F149" s="287"/>
      <c r="G149" s="287"/>
      <c r="H149" s="287"/>
      <c r="I149" s="94"/>
      <c r="J149" s="94"/>
      <c r="K149" s="287"/>
      <c r="L149" s="287"/>
      <c r="M149" s="287"/>
      <c r="N149" s="287"/>
      <c r="O149" s="287"/>
      <c r="P149" s="94"/>
      <c r="Q149" s="94"/>
      <c r="R149" s="287"/>
      <c r="S149" s="287"/>
      <c r="T149" s="287"/>
      <c r="U149" s="287"/>
      <c r="V149" s="287"/>
      <c r="W149" s="94"/>
      <c r="X149" s="94"/>
      <c r="Y149" s="94"/>
      <c r="Z149" s="94"/>
      <c r="AA149" s="94"/>
      <c r="AB149" s="94"/>
      <c r="AC149" s="294"/>
      <c r="AD149" s="94"/>
      <c r="AE149" s="94"/>
      <c r="AF149" s="94"/>
      <c r="AG149" s="9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282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31"/>
      <c r="FA149" s="31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31"/>
      <c r="GC149" s="14"/>
      <c r="GD149" s="14"/>
      <c r="GE149" s="14"/>
      <c r="GF149" s="14"/>
      <c r="GG149" s="14"/>
      <c r="GH149" s="14"/>
      <c r="GI149" s="14"/>
      <c r="GJ149" s="14"/>
      <c r="GK149" s="14"/>
      <c r="GL149" s="14"/>
      <c r="GM149" s="14"/>
      <c r="GN149" s="14"/>
      <c r="GO149" s="14"/>
      <c r="GP149" s="14"/>
      <c r="GQ149" s="14"/>
      <c r="GR149" s="14"/>
      <c r="GS149" s="14"/>
      <c r="GT149" s="14"/>
      <c r="GU149" s="14"/>
      <c r="GV149" s="14"/>
      <c r="GW149" s="14"/>
      <c r="GX149" s="14"/>
      <c r="GY149" s="14"/>
      <c r="GZ149" s="14"/>
      <c r="HA149" s="14"/>
    </row>
    <row r="150" ht="18.0" customHeight="1">
      <c r="A150" s="1"/>
      <c r="B150" s="28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294"/>
      <c r="AD150" s="94"/>
      <c r="AE150" s="94"/>
      <c r="AF150" s="94"/>
      <c r="AG150" s="9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282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31"/>
      <c r="FA150" s="31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  <c r="GB150" s="31"/>
      <c r="GC150" s="14"/>
      <c r="GD150" s="14"/>
      <c r="GE150" s="14"/>
      <c r="GF150" s="14"/>
      <c r="GG150" s="14"/>
      <c r="GH150" s="14"/>
      <c r="GI150" s="14"/>
      <c r="GJ150" s="14"/>
      <c r="GK150" s="14"/>
      <c r="GL150" s="14"/>
      <c r="GM150" s="14"/>
      <c r="GN150" s="14"/>
      <c r="GO150" s="14"/>
      <c r="GP150" s="14"/>
      <c r="GQ150" s="14"/>
      <c r="GR150" s="14"/>
      <c r="GS150" s="14"/>
      <c r="GT150" s="14"/>
      <c r="GU150" s="14"/>
      <c r="GV150" s="14"/>
      <c r="GW150" s="14"/>
      <c r="GX150" s="14"/>
      <c r="GY150" s="14"/>
      <c r="GZ150" s="14"/>
      <c r="HA150" s="14"/>
    </row>
    <row r="151" ht="18.0" customHeight="1">
      <c r="A151" s="1"/>
      <c r="B151" s="283"/>
      <c r="C151" s="94"/>
      <c r="D151" s="287"/>
      <c r="E151" s="287"/>
      <c r="F151" s="287"/>
      <c r="G151" s="287"/>
      <c r="H151" s="287"/>
      <c r="I151" s="94"/>
      <c r="J151" s="94"/>
      <c r="K151" s="287"/>
      <c r="L151" s="287"/>
      <c r="M151" s="287"/>
      <c r="N151" s="287"/>
      <c r="O151" s="287"/>
      <c r="P151" s="94"/>
      <c r="Q151" s="94"/>
      <c r="R151" s="287"/>
      <c r="S151" s="287"/>
      <c r="T151" s="287"/>
      <c r="U151" s="287"/>
      <c r="V151" s="287"/>
      <c r="W151" s="94"/>
      <c r="X151" s="94"/>
      <c r="Y151" s="94"/>
      <c r="Z151" s="94"/>
      <c r="AA151" s="94"/>
      <c r="AB151" s="94"/>
      <c r="AC151" s="294"/>
      <c r="AD151" s="94"/>
      <c r="AE151" s="94"/>
      <c r="AF151" s="94"/>
      <c r="AG151" s="9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282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31"/>
      <c r="FA151" s="31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  <c r="GB151" s="31"/>
      <c r="GC151" s="14"/>
      <c r="GD151" s="14"/>
      <c r="GE151" s="14"/>
      <c r="GF151" s="14"/>
      <c r="GG151" s="14"/>
      <c r="GH151" s="14"/>
      <c r="GI151" s="14"/>
      <c r="GJ151" s="14"/>
      <c r="GK151" s="14"/>
      <c r="GL151" s="14"/>
      <c r="GM151" s="14"/>
      <c r="GN151" s="14"/>
      <c r="GO151" s="14"/>
      <c r="GP151" s="14"/>
      <c r="GQ151" s="14"/>
      <c r="GR151" s="14"/>
      <c r="GS151" s="14"/>
      <c r="GT151" s="14"/>
      <c r="GU151" s="14"/>
      <c r="GV151" s="14"/>
      <c r="GW151" s="14"/>
      <c r="GX151" s="14"/>
      <c r="GY151" s="14"/>
      <c r="GZ151" s="14"/>
      <c r="HA151" s="14"/>
    </row>
    <row r="152" ht="18.0" customHeight="1">
      <c r="A152" s="1"/>
      <c r="B152" s="28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294"/>
      <c r="AD152" s="94"/>
      <c r="AE152" s="94"/>
      <c r="AF152" s="94"/>
      <c r="AG152" s="9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282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31"/>
      <c r="FA152" s="31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  <c r="FX152" s="14"/>
      <c r="FY152" s="14"/>
      <c r="FZ152" s="14"/>
      <c r="GA152" s="14"/>
      <c r="GB152" s="31"/>
      <c r="GC152" s="14"/>
      <c r="GD152" s="14"/>
      <c r="GE152" s="14"/>
      <c r="GF152" s="14"/>
      <c r="GG152" s="14"/>
      <c r="GH152" s="14"/>
      <c r="GI152" s="14"/>
      <c r="GJ152" s="14"/>
      <c r="GK152" s="14"/>
      <c r="GL152" s="14"/>
      <c r="GM152" s="14"/>
      <c r="GN152" s="14"/>
      <c r="GO152" s="14"/>
      <c r="GP152" s="14"/>
      <c r="GQ152" s="14"/>
      <c r="GR152" s="14"/>
      <c r="GS152" s="14"/>
      <c r="GT152" s="14"/>
      <c r="GU152" s="14"/>
      <c r="GV152" s="14"/>
      <c r="GW152" s="14"/>
      <c r="GX152" s="14"/>
      <c r="GY152" s="14"/>
      <c r="GZ152" s="14"/>
      <c r="HA152" s="14"/>
    </row>
    <row r="153" ht="18.0" customHeight="1">
      <c r="A153" s="1"/>
      <c r="B153" s="94"/>
      <c r="C153" s="14"/>
      <c r="D153" s="14"/>
      <c r="E153" s="14"/>
      <c r="F153" s="14"/>
      <c r="G153" s="14"/>
      <c r="H153" s="9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282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31"/>
      <c r="FA153" s="31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  <c r="FX153" s="14"/>
      <c r="FY153" s="14"/>
      <c r="FZ153" s="14"/>
      <c r="GA153" s="14"/>
      <c r="GB153" s="31"/>
      <c r="GC153" s="14"/>
      <c r="GD153" s="14"/>
      <c r="GE153" s="14"/>
      <c r="GF153" s="14"/>
      <c r="GG153" s="14"/>
      <c r="GH153" s="14"/>
      <c r="GI153" s="14"/>
      <c r="GJ153" s="14"/>
      <c r="GK153" s="14"/>
      <c r="GL153" s="14"/>
      <c r="GM153" s="14"/>
      <c r="GN153" s="14"/>
      <c r="GO153" s="14"/>
      <c r="GP153" s="14"/>
      <c r="GQ153" s="14"/>
      <c r="GR153" s="14"/>
      <c r="GS153" s="14"/>
      <c r="GT153" s="14"/>
      <c r="GU153" s="14"/>
      <c r="GV153" s="14"/>
      <c r="GW153" s="14"/>
      <c r="GX153" s="14"/>
      <c r="GY153" s="14"/>
      <c r="GZ153" s="14"/>
      <c r="HA153" s="14"/>
    </row>
    <row r="154" ht="18.0" customHeight="1">
      <c r="A154" s="1"/>
      <c r="B154" s="283"/>
      <c r="C154" s="244"/>
      <c r="D154" s="244"/>
      <c r="E154" s="244"/>
      <c r="F154" s="244"/>
      <c r="G154" s="244"/>
      <c r="H154" s="244"/>
      <c r="I154" s="244"/>
      <c r="J154" s="244"/>
      <c r="K154" s="244"/>
      <c r="L154" s="244"/>
      <c r="M154" s="244"/>
      <c r="N154" s="244"/>
      <c r="O154" s="244"/>
      <c r="P154" s="244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  <c r="AA154" s="244"/>
      <c r="AB154" s="244"/>
      <c r="AC154" s="244"/>
      <c r="AD154" s="244"/>
      <c r="AE154" s="244"/>
      <c r="AF154" s="24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282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31"/>
      <c r="FA154" s="31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  <c r="FX154" s="14"/>
      <c r="FY154" s="14"/>
      <c r="FZ154" s="14"/>
      <c r="GA154" s="14"/>
      <c r="GB154" s="31"/>
      <c r="GC154" s="14"/>
      <c r="GD154" s="14"/>
      <c r="GE154" s="14"/>
      <c r="GF154" s="14"/>
      <c r="GG154" s="14"/>
      <c r="GH154" s="14"/>
      <c r="GI154" s="14"/>
      <c r="GJ154" s="14"/>
      <c r="GK154" s="14"/>
      <c r="GL154" s="14"/>
      <c r="GM154" s="14"/>
      <c r="GN154" s="14"/>
      <c r="GO154" s="14"/>
      <c r="GP154" s="14"/>
      <c r="GQ154" s="14"/>
      <c r="GR154" s="14"/>
      <c r="GS154" s="14"/>
      <c r="GT154" s="14"/>
      <c r="GU154" s="14"/>
      <c r="GV154" s="14"/>
      <c r="GW154" s="14"/>
      <c r="GX154" s="14"/>
      <c r="GY154" s="14"/>
      <c r="GZ154" s="14"/>
      <c r="HA154" s="14"/>
    </row>
    <row r="155" ht="18.0" customHeight="1">
      <c r="A155" s="1"/>
      <c r="B155" s="283"/>
      <c r="C155" s="244"/>
      <c r="D155" s="244"/>
      <c r="E155" s="244"/>
      <c r="F155" s="244"/>
      <c r="G155" s="244"/>
      <c r="H155" s="244"/>
      <c r="I155" s="244"/>
      <c r="J155" s="244"/>
      <c r="K155" s="244"/>
      <c r="L155" s="244"/>
      <c r="M155" s="244"/>
      <c r="N155" s="244"/>
      <c r="O155" s="244"/>
      <c r="P155" s="244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  <c r="AA155" s="244"/>
      <c r="AB155" s="244"/>
      <c r="AC155" s="244"/>
      <c r="AD155" s="244"/>
      <c r="AE155" s="244"/>
      <c r="AF155" s="244"/>
      <c r="AG155" s="14"/>
      <c r="AH155" s="14"/>
      <c r="AI155" s="14"/>
      <c r="AJ155" s="94"/>
      <c r="AK155" s="287"/>
      <c r="AL155" s="287"/>
      <c r="AM155" s="94"/>
      <c r="AN155" s="9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282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31"/>
      <c r="FA155" s="31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  <c r="FX155" s="14"/>
      <c r="FY155" s="14"/>
      <c r="FZ155" s="14"/>
      <c r="GA155" s="14"/>
      <c r="GB155" s="31"/>
      <c r="GC155" s="14"/>
      <c r="GD155" s="14"/>
      <c r="GE155" s="14"/>
      <c r="GF155" s="14"/>
      <c r="GG155" s="14"/>
      <c r="GH155" s="14"/>
      <c r="GI155" s="14"/>
      <c r="GJ155" s="14"/>
      <c r="GK155" s="14"/>
      <c r="GL155" s="14"/>
      <c r="GM155" s="14"/>
      <c r="GN155" s="14"/>
      <c r="GO155" s="14"/>
      <c r="GP155" s="14"/>
      <c r="GQ155" s="14"/>
      <c r="GR155" s="14"/>
      <c r="GS155" s="14"/>
      <c r="GT155" s="14"/>
      <c r="GU155" s="14"/>
      <c r="GV155" s="14"/>
      <c r="GW155" s="14"/>
      <c r="GX155" s="14"/>
      <c r="GY155" s="14"/>
      <c r="GZ155" s="14"/>
      <c r="HA155" s="14"/>
    </row>
    <row r="156" ht="18.0" customHeight="1">
      <c r="A156" s="1"/>
      <c r="B156" s="283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287"/>
      <c r="AG156" s="14"/>
      <c r="AH156" s="14"/>
      <c r="AI156" s="94"/>
      <c r="AJ156" s="94"/>
      <c r="AK156" s="94"/>
      <c r="AL156" s="94"/>
      <c r="AM156" s="94"/>
      <c r="AN156" s="9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282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31"/>
      <c r="FA156" s="31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  <c r="GB156" s="31"/>
      <c r="GC156" s="14"/>
      <c r="GD156" s="14"/>
      <c r="GE156" s="14"/>
      <c r="GF156" s="14"/>
      <c r="GG156" s="14"/>
      <c r="GH156" s="14"/>
      <c r="GI156" s="14"/>
      <c r="GJ156" s="14"/>
      <c r="GK156" s="14"/>
      <c r="GL156" s="14"/>
      <c r="GM156" s="14"/>
      <c r="GN156" s="14"/>
      <c r="GO156" s="14"/>
      <c r="GP156" s="14"/>
      <c r="GQ156" s="14"/>
      <c r="GR156" s="14"/>
      <c r="GS156" s="14"/>
      <c r="GT156" s="14"/>
      <c r="GU156" s="14"/>
      <c r="GV156" s="14"/>
      <c r="GW156" s="14"/>
      <c r="GX156" s="14"/>
      <c r="GY156" s="14"/>
      <c r="GZ156" s="14"/>
      <c r="HA156" s="14"/>
    </row>
    <row r="157" ht="18.0" customHeight="1">
      <c r="A157" s="1"/>
      <c r="B157" s="28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14"/>
      <c r="AH157" s="14"/>
      <c r="AI157" s="94"/>
      <c r="AJ157" s="94"/>
      <c r="AK157" s="94"/>
      <c r="AL157" s="9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282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31"/>
      <c r="FA157" s="31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31"/>
      <c r="GC157" s="14"/>
      <c r="GD157" s="14"/>
      <c r="GE157" s="14"/>
      <c r="GF157" s="14"/>
      <c r="GG157" s="14"/>
      <c r="GH157" s="14"/>
      <c r="GI157" s="14"/>
      <c r="GJ157" s="14"/>
      <c r="GK157" s="14"/>
      <c r="GL157" s="14"/>
      <c r="GM157" s="14"/>
      <c r="GN157" s="14"/>
      <c r="GO157" s="14"/>
      <c r="GP157" s="14"/>
      <c r="GQ157" s="14"/>
      <c r="GR157" s="14"/>
      <c r="GS157" s="14"/>
      <c r="GT157" s="14"/>
      <c r="GU157" s="14"/>
      <c r="GV157" s="14"/>
      <c r="GW157" s="14"/>
      <c r="GX157" s="14"/>
      <c r="GY157" s="14"/>
      <c r="GZ157" s="14"/>
      <c r="HA157" s="14"/>
    </row>
    <row r="158" ht="18.0" customHeight="1">
      <c r="A158" s="1"/>
      <c r="B158" s="283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287"/>
      <c r="Y158" s="287"/>
      <c r="Z158" s="94"/>
      <c r="AA158" s="94"/>
      <c r="AB158" s="94"/>
      <c r="AC158" s="94"/>
      <c r="AD158" s="94"/>
      <c r="AE158" s="94"/>
      <c r="AF158" s="9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282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31"/>
      <c r="FA158" s="31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31"/>
      <c r="GC158" s="14"/>
      <c r="GD158" s="14"/>
      <c r="GE158" s="14"/>
      <c r="GF158" s="14"/>
      <c r="GG158" s="14"/>
      <c r="GH158" s="14"/>
      <c r="GI158" s="14"/>
      <c r="GJ158" s="14"/>
      <c r="GK158" s="14"/>
      <c r="GL158" s="14"/>
      <c r="GM158" s="14"/>
      <c r="GN158" s="14"/>
      <c r="GO158" s="14"/>
      <c r="GP158" s="14"/>
      <c r="GQ158" s="14"/>
      <c r="GR158" s="14"/>
      <c r="GS158" s="14"/>
      <c r="GT158" s="14"/>
      <c r="GU158" s="14"/>
      <c r="GV158" s="14"/>
      <c r="GW158" s="14"/>
      <c r="GX158" s="14"/>
      <c r="GY158" s="14"/>
      <c r="GZ158" s="14"/>
      <c r="HA158" s="14"/>
    </row>
    <row r="159" ht="18.0" customHeight="1">
      <c r="A159" s="1"/>
      <c r="B159" s="28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282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31"/>
      <c r="FA159" s="31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31"/>
      <c r="GC159" s="14"/>
      <c r="GD159" s="14"/>
      <c r="GE159" s="14"/>
      <c r="GF159" s="14"/>
      <c r="GG159" s="14"/>
      <c r="GH159" s="14"/>
      <c r="GI159" s="14"/>
      <c r="GJ159" s="14"/>
      <c r="GK159" s="14"/>
      <c r="GL159" s="14"/>
      <c r="GM159" s="14"/>
      <c r="GN159" s="14"/>
      <c r="GO159" s="14"/>
      <c r="GP159" s="14"/>
      <c r="GQ159" s="14"/>
      <c r="GR159" s="14"/>
      <c r="GS159" s="14"/>
      <c r="GT159" s="14"/>
      <c r="GU159" s="14"/>
      <c r="GV159" s="14"/>
      <c r="GW159" s="14"/>
      <c r="GX159" s="14"/>
      <c r="GY159" s="14"/>
      <c r="GZ159" s="14"/>
      <c r="HA159" s="14"/>
    </row>
    <row r="160" ht="18.0" customHeight="1">
      <c r="A160" s="1"/>
      <c r="B160" s="283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287"/>
      <c r="Q160" s="287"/>
      <c r="R160" s="287"/>
      <c r="S160" s="287"/>
      <c r="T160" s="94"/>
      <c r="U160" s="94"/>
      <c r="V160" s="94"/>
      <c r="W160" s="287"/>
      <c r="X160" s="94"/>
      <c r="Y160" s="94"/>
      <c r="Z160" s="287"/>
      <c r="AA160" s="94"/>
      <c r="AB160" s="94"/>
      <c r="AC160" s="94"/>
      <c r="AD160" s="94"/>
      <c r="AE160" s="287"/>
      <c r="AF160" s="9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282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31"/>
      <c r="FA160" s="31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  <c r="GB160" s="31"/>
      <c r="GC160" s="14"/>
      <c r="GD160" s="14"/>
      <c r="GE160" s="14"/>
      <c r="GF160" s="14"/>
      <c r="GG160" s="14"/>
      <c r="GH160" s="14"/>
      <c r="GI160" s="14"/>
      <c r="GJ160" s="14"/>
      <c r="GK160" s="14"/>
      <c r="GL160" s="14"/>
      <c r="GM160" s="14"/>
      <c r="GN160" s="14"/>
      <c r="GO160" s="14"/>
      <c r="GP160" s="14"/>
      <c r="GQ160" s="14"/>
      <c r="GR160" s="14"/>
      <c r="GS160" s="14"/>
      <c r="GT160" s="14"/>
      <c r="GU160" s="14"/>
      <c r="GV160" s="14"/>
      <c r="GW160" s="14"/>
      <c r="GX160" s="14"/>
      <c r="GY160" s="14"/>
      <c r="GZ160" s="14"/>
      <c r="HA160" s="14"/>
    </row>
    <row r="161" ht="18.0" customHeight="1">
      <c r="A161" s="1"/>
      <c r="B161" s="28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282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31"/>
      <c r="FA161" s="31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  <c r="FL161" s="14"/>
      <c r="FM161" s="14"/>
      <c r="FN161" s="14"/>
      <c r="FO161" s="14"/>
      <c r="FP161" s="14"/>
      <c r="FQ161" s="14"/>
      <c r="FR161" s="14"/>
      <c r="FS161" s="14"/>
      <c r="FT161" s="14"/>
      <c r="FU161" s="14"/>
      <c r="FV161" s="14"/>
      <c r="FW161" s="14"/>
      <c r="FX161" s="14"/>
      <c r="FY161" s="14"/>
      <c r="FZ161" s="14"/>
      <c r="GA161" s="14"/>
      <c r="GB161" s="31"/>
      <c r="GC161" s="14"/>
      <c r="GD161" s="14"/>
      <c r="GE161" s="14"/>
      <c r="GF161" s="14"/>
      <c r="GG161" s="14"/>
      <c r="GH161" s="14"/>
      <c r="GI161" s="14"/>
      <c r="GJ161" s="14"/>
      <c r="GK161" s="14"/>
      <c r="GL161" s="14"/>
      <c r="GM161" s="14"/>
      <c r="GN161" s="14"/>
      <c r="GO161" s="14"/>
      <c r="GP161" s="14"/>
      <c r="GQ161" s="14"/>
      <c r="GR161" s="14"/>
      <c r="GS161" s="14"/>
      <c r="GT161" s="14"/>
      <c r="GU161" s="14"/>
      <c r="GV161" s="14"/>
      <c r="GW161" s="14"/>
      <c r="GX161" s="14"/>
      <c r="GY161" s="14"/>
      <c r="GZ161" s="14"/>
      <c r="HA161" s="14"/>
    </row>
    <row r="162" ht="18.0" customHeight="1">
      <c r="A162" s="1"/>
      <c r="B162" s="283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287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287"/>
      <c r="AE162" s="94"/>
      <c r="AF162" s="9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282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31"/>
      <c r="FA162" s="31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14"/>
      <c r="FU162" s="14"/>
      <c r="FV162" s="14"/>
      <c r="FW162" s="14"/>
      <c r="FX162" s="14"/>
      <c r="FY162" s="14"/>
      <c r="FZ162" s="14"/>
      <c r="GA162" s="14"/>
      <c r="GB162" s="31"/>
      <c r="GC162" s="14"/>
      <c r="GD162" s="14"/>
      <c r="GE162" s="14"/>
      <c r="GF162" s="14"/>
      <c r="GG162" s="14"/>
      <c r="GH162" s="14"/>
      <c r="GI162" s="14"/>
      <c r="GJ162" s="14"/>
      <c r="GK162" s="14"/>
      <c r="GL162" s="14"/>
      <c r="GM162" s="14"/>
      <c r="GN162" s="14"/>
      <c r="GO162" s="14"/>
      <c r="GP162" s="14"/>
      <c r="GQ162" s="14"/>
      <c r="GR162" s="14"/>
      <c r="GS162" s="14"/>
      <c r="GT162" s="14"/>
      <c r="GU162" s="14"/>
      <c r="GV162" s="14"/>
      <c r="GW162" s="14"/>
      <c r="GX162" s="14"/>
      <c r="GY162" s="14"/>
      <c r="GZ162" s="14"/>
      <c r="HA162" s="14"/>
    </row>
    <row r="163" ht="18.0" customHeight="1">
      <c r="A163" s="1"/>
      <c r="B163" s="28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247"/>
      <c r="AE163" s="94"/>
      <c r="AF163" s="9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282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31"/>
      <c r="FA163" s="31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  <c r="FL163" s="14"/>
      <c r="FM163" s="14"/>
      <c r="FN163" s="14"/>
      <c r="FO163" s="14"/>
      <c r="FP163" s="14"/>
      <c r="FQ163" s="14"/>
      <c r="FR163" s="14"/>
      <c r="FS163" s="14"/>
      <c r="FT163" s="14"/>
      <c r="FU163" s="14"/>
      <c r="FV163" s="14"/>
      <c r="FW163" s="14"/>
      <c r="FX163" s="14"/>
      <c r="FY163" s="14"/>
      <c r="FZ163" s="14"/>
      <c r="GA163" s="14"/>
      <c r="GB163" s="31"/>
      <c r="GC163" s="14"/>
      <c r="GD163" s="14"/>
      <c r="GE163" s="14"/>
      <c r="GF163" s="14"/>
      <c r="GG163" s="14"/>
      <c r="GH163" s="14"/>
      <c r="GI163" s="14"/>
      <c r="GJ163" s="14"/>
      <c r="GK163" s="14"/>
      <c r="GL163" s="14"/>
      <c r="GM163" s="14"/>
      <c r="GN163" s="14"/>
      <c r="GO163" s="14"/>
      <c r="GP163" s="14"/>
      <c r="GQ163" s="14"/>
      <c r="GR163" s="14"/>
      <c r="GS163" s="14"/>
      <c r="GT163" s="14"/>
      <c r="GU163" s="14"/>
      <c r="GV163" s="14"/>
      <c r="GW163" s="14"/>
      <c r="GX163" s="14"/>
      <c r="GY163" s="14"/>
      <c r="GZ163" s="14"/>
      <c r="HA163" s="14"/>
    </row>
    <row r="164" ht="18.0" customHeight="1">
      <c r="A164" s="1"/>
      <c r="B164" s="283"/>
      <c r="C164" s="94"/>
      <c r="D164" s="94"/>
      <c r="E164" s="94"/>
      <c r="F164" s="94"/>
      <c r="G164" s="94"/>
      <c r="H164" s="94"/>
      <c r="I164" s="287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287"/>
      <c r="AE164" s="94"/>
      <c r="AF164" s="9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282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31"/>
      <c r="FA164" s="31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31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</row>
    <row r="165" ht="18.0" customHeight="1">
      <c r="A165" s="1"/>
      <c r="B165" s="28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287"/>
      <c r="AE165" s="94"/>
      <c r="AF165" s="9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282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31"/>
      <c r="FA165" s="31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31"/>
      <c r="GC165" s="14"/>
      <c r="GD165" s="14"/>
      <c r="GE165" s="14"/>
      <c r="GF165" s="14"/>
      <c r="GG165" s="14"/>
      <c r="GH165" s="14"/>
      <c r="GI165" s="14"/>
      <c r="GJ165" s="14"/>
      <c r="GK165" s="14"/>
      <c r="GL165" s="14"/>
      <c r="GM165" s="14"/>
      <c r="GN165" s="14"/>
      <c r="GO165" s="14"/>
      <c r="GP165" s="14"/>
      <c r="GQ165" s="14"/>
      <c r="GR165" s="14"/>
      <c r="GS165" s="14"/>
      <c r="GT165" s="14"/>
      <c r="GU165" s="14"/>
      <c r="GV165" s="14"/>
      <c r="GW165" s="14"/>
      <c r="GX165" s="14"/>
      <c r="GY165" s="14"/>
      <c r="GZ165" s="14"/>
      <c r="HA165" s="14"/>
    </row>
    <row r="166" ht="18.0" customHeight="1">
      <c r="A166" s="1"/>
      <c r="B166" s="283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282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31"/>
      <c r="FA166" s="31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31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</row>
    <row r="167" ht="18.0" customHeight="1">
      <c r="A167" s="1"/>
      <c r="B167" s="28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282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31"/>
      <c r="FA167" s="31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31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</row>
    <row r="168" ht="18.0" customHeight="1">
      <c r="A168" s="1"/>
      <c r="B168" s="283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14"/>
      <c r="AH168" s="94"/>
      <c r="AI168" s="94"/>
      <c r="AJ168" s="94"/>
      <c r="AK168" s="94"/>
      <c r="AL168" s="94"/>
      <c r="AM168" s="94"/>
      <c r="AN168" s="94"/>
      <c r="AO168" s="94"/>
      <c r="AP168" s="200"/>
      <c r="AQ168" s="94"/>
      <c r="AR168" s="9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282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31"/>
      <c r="FA168" s="31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  <c r="GB168" s="31"/>
      <c r="GC168" s="14"/>
      <c r="GD168" s="14"/>
      <c r="GE168" s="14"/>
      <c r="GF168" s="14"/>
      <c r="GG168" s="14"/>
      <c r="GH168" s="14"/>
      <c r="GI168" s="14"/>
      <c r="GJ168" s="14"/>
      <c r="GK168" s="14"/>
      <c r="GL168" s="14"/>
      <c r="GM168" s="14"/>
      <c r="GN168" s="14"/>
      <c r="GO168" s="14"/>
      <c r="GP168" s="14"/>
      <c r="GQ168" s="14"/>
      <c r="GR168" s="14"/>
      <c r="GS168" s="14"/>
      <c r="GT168" s="14"/>
      <c r="GU168" s="14"/>
      <c r="GV168" s="14"/>
      <c r="GW168" s="14"/>
      <c r="GX168" s="14"/>
      <c r="GY168" s="14"/>
      <c r="GZ168" s="14"/>
      <c r="HA168" s="14"/>
    </row>
    <row r="169" ht="18.0" customHeight="1">
      <c r="A169" s="1"/>
      <c r="B169" s="28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14"/>
      <c r="AH169" s="94"/>
      <c r="AI169" s="94"/>
      <c r="AJ169" s="94"/>
      <c r="AK169" s="94"/>
      <c r="AL169" s="94"/>
      <c r="AM169" s="94"/>
      <c r="AN169" s="94"/>
      <c r="AO169" s="94"/>
      <c r="AP169" s="94"/>
      <c r="AQ169" s="94"/>
      <c r="AR169" s="9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282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31"/>
      <c r="FA169" s="31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  <c r="GB169" s="31"/>
      <c r="GC169" s="14"/>
      <c r="GD169" s="14"/>
      <c r="GE169" s="14"/>
      <c r="GF169" s="14"/>
      <c r="GG169" s="14"/>
      <c r="GH169" s="14"/>
      <c r="GI169" s="14"/>
      <c r="GJ169" s="14"/>
      <c r="GK169" s="14"/>
      <c r="GL169" s="14"/>
      <c r="GM169" s="14"/>
      <c r="GN169" s="14"/>
      <c r="GO169" s="14"/>
      <c r="GP169" s="14"/>
      <c r="GQ169" s="14"/>
      <c r="GR169" s="14"/>
      <c r="GS169" s="14"/>
      <c r="GT169" s="14"/>
      <c r="GU169" s="14"/>
      <c r="GV169" s="14"/>
      <c r="GW169" s="14"/>
      <c r="GX169" s="14"/>
      <c r="GY169" s="14"/>
      <c r="GZ169" s="14"/>
      <c r="HA169" s="14"/>
    </row>
    <row r="170" ht="18.0" customHeight="1">
      <c r="A170" s="1"/>
      <c r="B170" s="283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282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31"/>
      <c r="FA170" s="31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  <c r="GB170" s="31"/>
      <c r="GC170" s="14"/>
      <c r="GD170" s="14"/>
      <c r="GE170" s="14"/>
      <c r="GF170" s="14"/>
      <c r="GG170" s="14"/>
      <c r="GH170" s="14"/>
      <c r="GI170" s="14"/>
      <c r="GJ170" s="14"/>
      <c r="GK170" s="14"/>
      <c r="GL170" s="14"/>
      <c r="GM170" s="14"/>
      <c r="GN170" s="14"/>
      <c r="GO170" s="14"/>
      <c r="GP170" s="14"/>
      <c r="GQ170" s="14"/>
      <c r="GR170" s="14"/>
      <c r="GS170" s="14"/>
      <c r="GT170" s="14"/>
      <c r="GU170" s="14"/>
      <c r="GV170" s="14"/>
      <c r="GW170" s="14"/>
      <c r="GX170" s="14"/>
      <c r="GY170" s="14"/>
      <c r="GZ170" s="14"/>
      <c r="HA170" s="14"/>
    </row>
    <row r="171" ht="18.0" customHeight="1">
      <c r="A171" s="1"/>
      <c r="B171" s="28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282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31"/>
      <c r="FA171" s="31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  <c r="GB171" s="31"/>
      <c r="GC171" s="14"/>
      <c r="GD171" s="14"/>
      <c r="GE171" s="14"/>
      <c r="GF171" s="14"/>
      <c r="GG171" s="14"/>
      <c r="GH171" s="14"/>
      <c r="GI171" s="14"/>
      <c r="GJ171" s="14"/>
      <c r="GK171" s="14"/>
      <c r="GL171" s="14"/>
      <c r="GM171" s="14"/>
      <c r="GN171" s="14"/>
      <c r="GO171" s="14"/>
      <c r="GP171" s="14"/>
      <c r="GQ171" s="14"/>
      <c r="GR171" s="14"/>
      <c r="GS171" s="14"/>
      <c r="GT171" s="14"/>
      <c r="GU171" s="14"/>
      <c r="GV171" s="14"/>
      <c r="GW171" s="14"/>
      <c r="GX171" s="14"/>
      <c r="GY171" s="14"/>
      <c r="GZ171" s="14"/>
      <c r="HA171" s="14"/>
    </row>
    <row r="172" ht="18.0" customHeight="1">
      <c r="A172" s="1"/>
      <c r="B172" s="9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282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31"/>
      <c r="FA172" s="31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  <c r="GB172" s="31"/>
      <c r="GC172" s="14"/>
      <c r="GD172" s="14"/>
      <c r="GE172" s="14"/>
      <c r="GF172" s="14"/>
      <c r="GG172" s="14"/>
      <c r="GH172" s="14"/>
      <c r="GI172" s="14"/>
      <c r="GJ172" s="14"/>
      <c r="GK172" s="14"/>
      <c r="GL172" s="14"/>
      <c r="GM172" s="14"/>
      <c r="GN172" s="14"/>
      <c r="GO172" s="14"/>
      <c r="GP172" s="14"/>
      <c r="GQ172" s="14"/>
      <c r="GR172" s="14"/>
      <c r="GS172" s="14"/>
      <c r="GT172" s="14"/>
      <c r="GU172" s="14"/>
      <c r="GV172" s="14"/>
      <c r="GW172" s="14"/>
      <c r="GX172" s="14"/>
      <c r="GY172" s="14"/>
      <c r="GZ172" s="14"/>
      <c r="HA172" s="14"/>
    </row>
    <row r="173" ht="18.0" customHeight="1">
      <c r="A173" s="1"/>
      <c r="B173" s="283"/>
      <c r="C173" s="244"/>
      <c r="D173" s="244"/>
      <c r="E173" s="244"/>
      <c r="F173" s="244"/>
      <c r="G173" s="244"/>
      <c r="H173" s="244"/>
      <c r="I173" s="244"/>
      <c r="J173" s="244"/>
      <c r="K173" s="244"/>
      <c r="L173" s="244"/>
      <c r="M173" s="244"/>
      <c r="N173" s="244"/>
      <c r="O173" s="244"/>
      <c r="P173" s="244"/>
      <c r="Q173" s="244"/>
      <c r="R173" s="244"/>
      <c r="S173" s="244"/>
      <c r="T173" s="244"/>
      <c r="U173" s="244"/>
      <c r="V173" s="244"/>
      <c r="W173" s="244"/>
      <c r="X173" s="244"/>
      <c r="Y173" s="244"/>
      <c r="Z173" s="244"/>
      <c r="AA173" s="244"/>
      <c r="AB173" s="244"/>
      <c r="AC173" s="244"/>
      <c r="AD173" s="244"/>
      <c r="AE173" s="244"/>
      <c r="AF173" s="244"/>
      <c r="AG173" s="24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282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31"/>
      <c r="FA173" s="31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  <c r="GB173" s="31"/>
      <c r="GC173" s="14"/>
      <c r="GD173" s="14"/>
      <c r="GE173" s="14"/>
      <c r="GF173" s="14"/>
      <c r="GG173" s="14"/>
      <c r="GH173" s="14"/>
      <c r="GI173" s="14"/>
      <c r="GJ173" s="14"/>
      <c r="GK173" s="14"/>
      <c r="GL173" s="14"/>
      <c r="GM173" s="14"/>
      <c r="GN173" s="14"/>
      <c r="GO173" s="14"/>
      <c r="GP173" s="14"/>
      <c r="GQ173" s="14"/>
      <c r="GR173" s="14"/>
      <c r="GS173" s="14"/>
      <c r="GT173" s="14"/>
      <c r="GU173" s="14"/>
      <c r="GV173" s="14"/>
      <c r="GW173" s="14"/>
      <c r="GX173" s="14"/>
      <c r="GY173" s="14"/>
      <c r="GZ173" s="14"/>
      <c r="HA173" s="14"/>
    </row>
    <row r="174" ht="18.0" customHeight="1">
      <c r="A174" s="1"/>
      <c r="B174" s="283"/>
      <c r="C174" s="244"/>
      <c r="D174" s="244"/>
      <c r="E174" s="244"/>
      <c r="F174" s="244"/>
      <c r="G174" s="244"/>
      <c r="H174" s="244"/>
      <c r="I174" s="244"/>
      <c r="J174" s="244"/>
      <c r="K174" s="244"/>
      <c r="L174" s="244"/>
      <c r="M174" s="244"/>
      <c r="N174" s="244"/>
      <c r="O174" s="244"/>
      <c r="P174" s="244"/>
      <c r="Q174" s="244"/>
      <c r="R174" s="244"/>
      <c r="S174" s="244"/>
      <c r="T174" s="244"/>
      <c r="U174" s="244"/>
      <c r="V174" s="244"/>
      <c r="W174" s="244"/>
      <c r="X174" s="244"/>
      <c r="Y174" s="244"/>
      <c r="Z174" s="244"/>
      <c r="AA174" s="244"/>
      <c r="AB174" s="244"/>
      <c r="AC174" s="244"/>
      <c r="AD174" s="244"/>
      <c r="AE174" s="244"/>
      <c r="AF174" s="244"/>
      <c r="AG174" s="24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282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31"/>
      <c r="FA174" s="31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31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</row>
    <row r="175" ht="18.0" customHeight="1">
      <c r="A175" s="1"/>
      <c r="B175" s="283"/>
      <c r="C175" s="287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296"/>
      <c r="P175" s="296"/>
      <c r="Q175" s="296"/>
      <c r="R175" s="94"/>
      <c r="S175" s="94"/>
      <c r="T175" s="94"/>
      <c r="U175" s="296"/>
      <c r="V175" s="296"/>
      <c r="W175" s="296"/>
      <c r="X175" s="200"/>
      <c r="Y175" s="94"/>
      <c r="Z175" s="94"/>
      <c r="AA175" s="94"/>
      <c r="AB175" s="287"/>
      <c r="AC175" s="287"/>
      <c r="AD175" s="287"/>
      <c r="AE175" s="287"/>
      <c r="AF175" s="94"/>
      <c r="AG175" s="94"/>
      <c r="AH175" s="297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282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31"/>
      <c r="FA175" s="31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31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</row>
    <row r="176" ht="18.0" customHeight="1">
      <c r="A176" s="1"/>
      <c r="B176" s="28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200"/>
      <c r="P176" s="200"/>
      <c r="Q176" s="200"/>
      <c r="R176" s="94"/>
      <c r="S176" s="94"/>
      <c r="T176" s="94"/>
      <c r="U176" s="94"/>
      <c r="V176" s="296"/>
      <c r="W176" s="200"/>
      <c r="X176" s="298"/>
      <c r="Y176" s="94"/>
      <c r="Z176" s="94"/>
      <c r="AA176" s="94"/>
      <c r="AB176" s="94"/>
      <c r="AC176" s="94"/>
      <c r="AD176" s="94"/>
      <c r="AE176" s="94"/>
      <c r="AF176" s="94"/>
      <c r="AG176" s="9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282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31"/>
      <c r="FA176" s="31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31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</row>
    <row r="177" ht="18.0" customHeight="1">
      <c r="A177" s="1"/>
      <c r="B177" s="283"/>
      <c r="C177" s="94"/>
      <c r="D177" s="94"/>
      <c r="E177" s="94"/>
      <c r="F177" s="94"/>
      <c r="G177" s="287"/>
      <c r="H177" s="287"/>
      <c r="I177" s="287"/>
      <c r="J177" s="287"/>
      <c r="K177" s="94"/>
      <c r="L177" s="94"/>
      <c r="M177" s="94"/>
      <c r="N177" s="94"/>
      <c r="O177" s="287"/>
      <c r="P177" s="287"/>
      <c r="Q177" s="94"/>
      <c r="R177" s="94"/>
      <c r="S177" s="94"/>
      <c r="T177" s="94"/>
      <c r="U177" s="94"/>
      <c r="V177" s="287"/>
      <c r="W177" s="287"/>
      <c r="X177" s="287"/>
      <c r="Y177" s="94"/>
      <c r="Z177" s="94"/>
      <c r="AA177" s="94"/>
      <c r="AB177" s="94"/>
      <c r="AC177" s="94"/>
      <c r="AD177" s="94"/>
      <c r="AE177" s="295"/>
      <c r="AF177" s="94"/>
      <c r="AG177" s="9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282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31"/>
      <c r="FA177" s="31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31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</row>
    <row r="178" ht="18.0" customHeight="1">
      <c r="A178" s="1"/>
      <c r="B178" s="28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295"/>
      <c r="AF178" s="94"/>
      <c r="AG178" s="9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282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31"/>
      <c r="FA178" s="31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  <c r="GB178" s="31"/>
      <c r="GC178" s="14"/>
      <c r="GD178" s="14"/>
      <c r="GE178" s="14"/>
      <c r="GF178" s="14"/>
      <c r="GG178" s="14"/>
      <c r="GH178" s="14"/>
      <c r="GI178" s="14"/>
      <c r="GJ178" s="14"/>
      <c r="GK178" s="14"/>
      <c r="GL178" s="14"/>
      <c r="GM178" s="14"/>
      <c r="GN178" s="14"/>
      <c r="GO178" s="14"/>
      <c r="GP178" s="14"/>
      <c r="GQ178" s="14"/>
      <c r="GR178" s="14"/>
      <c r="GS178" s="14"/>
      <c r="GT178" s="14"/>
      <c r="GU178" s="14"/>
      <c r="GV178" s="14"/>
      <c r="GW178" s="14"/>
      <c r="GX178" s="14"/>
      <c r="GY178" s="14"/>
      <c r="GZ178" s="14"/>
      <c r="HA178" s="14"/>
    </row>
    <row r="179" ht="18.0" customHeight="1">
      <c r="A179" s="1"/>
      <c r="B179" s="283"/>
      <c r="C179" s="94"/>
      <c r="D179" s="94"/>
      <c r="E179" s="94"/>
      <c r="F179" s="94"/>
      <c r="G179" s="287"/>
      <c r="H179" s="287"/>
      <c r="I179" s="287"/>
      <c r="J179" s="287"/>
      <c r="K179" s="94"/>
      <c r="L179" s="94"/>
      <c r="M179" s="94"/>
      <c r="N179" s="94"/>
      <c r="O179" s="94"/>
      <c r="P179" s="94"/>
      <c r="Q179" s="295"/>
      <c r="R179" s="94"/>
      <c r="S179" s="94"/>
      <c r="T179" s="94"/>
      <c r="U179" s="287"/>
      <c r="V179" s="287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282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31"/>
      <c r="FA179" s="31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  <c r="GB179" s="31"/>
      <c r="GC179" s="14"/>
      <c r="GD179" s="14"/>
      <c r="GE179" s="14"/>
      <c r="GF179" s="14"/>
      <c r="GG179" s="14"/>
      <c r="GH179" s="14"/>
      <c r="GI179" s="14"/>
      <c r="GJ179" s="14"/>
      <c r="GK179" s="14"/>
      <c r="GL179" s="14"/>
      <c r="GM179" s="14"/>
      <c r="GN179" s="14"/>
      <c r="GO179" s="14"/>
      <c r="GP179" s="14"/>
      <c r="GQ179" s="14"/>
      <c r="GR179" s="14"/>
      <c r="GS179" s="14"/>
      <c r="GT179" s="14"/>
      <c r="GU179" s="14"/>
      <c r="GV179" s="14"/>
      <c r="GW179" s="14"/>
      <c r="GX179" s="14"/>
      <c r="GY179" s="14"/>
      <c r="GZ179" s="14"/>
      <c r="HA179" s="14"/>
    </row>
    <row r="180" ht="18.0" customHeight="1">
      <c r="A180" s="1"/>
      <c r="B180" s="28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295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282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31"/>
      <c r="FA180" s="31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31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  <c r="GX180" s="14"/>
      <c r="GY180" s="14"/>
      <c r="GZ180" s="14"/>
      <c r="HA180" s="14"/>
    </row>
    <row r="181" ht="18.0" customHeight="1">
      <c r="A181" s="1"/>
      <c r="B181" s="283"/>
      <c r="C181" s="94"/>
      <c r="D181" s="94"/>
      <c r="E181" s="94"/>
      <c r="F181" s="94"/>
      <c r="G181" s="94"/>
      <c r="H181" s="94"/>
      <c r="I181" s="94"/>
      <c r="J181" s="295"/>
      <c r="K181" s="94"/>
      <c r="L181" s="94"/>
      <c r="M181" s="94"/>
      <c r="N181" s="94"/>
      <c r="O181" s="94"/>
      <c r="P181" s="94"/>
      <c r="Q181" s="287"/>
      <c r="R181" s="94"/>
      <c r="S181" s="94"/>
      <c r="T181" s="94"/>
      <c r="U181" s="94"/>
      <c r="V181" s="94"/>
      <c r="W181" s="94"/>
      <c r="X181" s="295"/>
      <c r="Y181" s="94"/>
      <c r="Z181" s="94"/>
      <c r="AA181" s="94"/>
      <c r="AB181" s="94"/>
      <c r="AC181" s="94"/>
      <c r="AD181" s="94"/>
      <c r="AE181" s="94"/>
      <c r="AF181" s="94"/>
      <c r="AG181" s="9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282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31"/>
      <c r="FA181" s="31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31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</row>
    <row r="182" ht="18.0" customHeight="1">
      <c r="A182" s="1"/>
      <c r="B182" s="284"/>
      <c r="C182" s="94"/>
      <c r="D182" s="94"/>
      <c r="E182" s="94"/>
      <c r="F182" s="94"/>
      <c r="G182" s="94"/>
      <c r="H182" s="94"/>
      <c r="I182" s="94"/>
      <c r="J182" s="295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295"/>
      <c r="Y182" s="94"/>
      <c r="Z182" s="94"/>
      <c r="AA182" s="94"/>
      <c r="AB182" s="94"/>
      <c r="AC182" s="94"/>
      <c r="AD182" s="94"/>
      <c r="AE182" s="94"/>
      <c r="AF182" s="94"/>
      <c r="AG182" s="9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282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31"/>
      <c r="FA182" s="31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31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</row>
    <row r="183" ht="18.0" customHeight="1">
      <c r="A183" s="1"/>
      <c r="B183" s="283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287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296"/>
      <c r="AC183" s="296"/>
      <c r="AD183" s="296"/>
      <c r="AE183" s="296"/>
      <c r="AF183" s="94"/>
      <c r="AG183" s="9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282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31"/>
      <c r="FA183" s="31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31"/>
      <c r="GC183" s="14"/>
      <c r="GD183" s="14"/>
      <c r="GE183" s="14"/>
      <c r="GF183" s="14"/>
      <c r="GG183" s="14"/>
      <c r="GH183" s="14"/>
      <c r="GI183" s="14"/>
      <c r="GJ183" s="14"/>
      <c r="GK183" s="14"/>
      <c r="GL183" s="14"/>
      <c r="GM183" s="14"/>
      <c r="GN183" s="14"/>
      <c r="GO183" s="14"/>
      <c r="GP183" s="14"/>
      <c r="GQ183" s="14"/>
      <c r="GR183" s="14"/>
      <c r="GS183" s="14"/>
      <c r="GT183" s="14"/>
      <c r="GU183" s="14"/>
      <c r="GV183" s="14"/>
      <c r="GW183" s="14"/>
      <c r="GX183" s="14"/>
      <c r="GY183" s="14"/>
      <c r="GZ183" s="14"/>
      <c r="HA183" s="14"/>
    </row>
    <row r="184" ht="18.0" customHeight="1">
      <c r="A184" s="1"/>
      <c r="B184" s="28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299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282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31"/>
      <c r="FA184" s="31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14"/>
      <c r="FU184" s="14"/>
      <c r="FV184" s="14"/>
      <c r="FW184" s="14"/>
      <c r="FX184" s="14"/>
      <c r="FY184" s="14"/>
      <c r="FZ184" s="14"/>
      <c r="GA184" s="14"/>
      <c r="GB184" s="31"/>
      <c r="GC184" s="14"/>
      <c r="GD184" s="14"/>
      <c r="GE184" s="14"/>
      <c r="GF184" s="14"/>
      <c r="GG184" s="14"/>
      <c r="GH184" s="14"/>
      <c r="GI184" s="14"/>
      <c r="GJ184" s="14"/>
      <c r="GK184" s="14"/>
      <c r="GL184" s="14"/>
      <c r="GM184" s="14"/>
      <c r="GN184" s="14"/>
      <c r="GO184" s="14"/>
      <c r="GP184" s="14"/>
      <c r="GQ184" s="14"/>
      <c r="GR184" s="14"/>
      <c r="GS184" s="14"/>
      <c r="GT184" s="14"/>
      <c r="GU184" s="14"/>
      <c r="GV184" s="14"/>
      <c r="GW184" s="14"/>
      <c r="GX184" s="14"/>
      <c r="GY184" s="14"/>
      <c r="GZ184" s="14"/>
      <c r="HA184" s="14"/>
    </row>
    <row r="185" ht="18.0" customHeight="1">
      <c r="A185" s="1"/>
      <c r="B185" s="283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282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31"/>
      <c r="FA185" s="31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14"/>
      <c r="FW185" s="14"/>
      <c r="FX185" s="14"/>
      <c r="FY185" s="14"/>
      <c r="FZ185" s="14"/>
      <c r="GA185" s="14"/>
      <c r="GB185" s="31"/>
      <c r="GC185" s="14"/>
      <c r="GD185" s="14"/>
      <c r="GE185" s="14"/>
      <c r="GF185" s="14"/>
      <c r="GG185" s="14"/>
      <c r="GH185" s="14"/>
      <c r="GI185" s="14"/>
      <c r="GJ185" s="14"/>
      <c r="GK185" s="14"/>
      <c r="GL185" s="14"/>
      <c r="GM185" s="14"/>
      <c r="GN185" s="14"/>
      <c r="GO185" s="14"/>
      <c r="GP185" s="14"/>
      <c r="GQ185" s="14"/>
      <c r="GR185" s="14"/>
      <c r="GS185" s="14"/>
      <c r="GT185" s="14"/>
      <c r="GU185" s="14"/>
      <c r="GV185" s="14"/>
      <c r="GW185" s="14"/>
      <c r="GX185" s="14"/>
      <c r="GY185" s="14"/>
      <c r="GZ185" s="14"/>
      <c r="HA185" s="14"/>
    </row>
    <row r="186" ht="18.0" customHeight="1">
      <c r="A186" s="1"/>
      <c r="B186" s="28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282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31"/>
      <c r="FA186" s="31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14"/>
      <c r="FW186" s="14"/>
      <c r="FX186" s="14"/>
      <c r="FY186" s="14"/>
      <c r="FZ186" s="14"/>
      <c r="GA186" s="14"/>
      <c r="GB186" s="31"/>
      <c r="GC186" s="14"/>
      <c r="GD186" s="14"/>
      <c r="GE186" s="14"/>
      <c r="GF186" s="14"/>
      <c r="GG186" s="14"/>
      <c r="GH186" s="14"/>
      <c r="GI186" s="14"/>
      <c r="GJ186" s="14"/>
      <c r="GK186" s="14"/>
      <c r="GL186" s="14"/>
      <c r="GM186" s="14"/>
      <c r="GN186" s="14"/>
      <c r="GO186" s="14"/>
      <c r="GP186" s="14"/>
      <c r="GQ186" s="14"/>
      <c r="GR186" s="14"/>
      <c r="GS186" s="14"/>
      <c r="GT186" s="14"/>
      <c r="GU186" s="14"/>
      <c r="GV186" s="14"/>
      <c r="GW186" s="14"/>
      <c r="GX186" s="14"/>
      <c r="GY186" s="14"/>
      <c r="GZ186" s="14"/>
      <c r="HA186" s="14"/>
    </row>
    <row r="187" ht="18.0" customHeight="1">
      <c r="A187" s="1"/>
      <c r="B187" s="283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287"/>
      <c r="P187" s="287"/>
      <c r="Q187" s="287"/>
      <c r="R187" s="94"/>
      <c r="S187" s="94"/>
      <c r="T187" s="94"/>
      <c r="U187" s="287"/>
      <c r="V187" s="287"/>
      <c r="W187" s="287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282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31"/>
      <c r="FA187" s="31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14"/>
      <c r="FW187" s="14"/>
      <c r="FX187" s="14"/>
      <c r="FY187" s="14"/>
      <c r="FZ187" s="14"/>
      <c r="GA187" s="14"/>
      <c r="GB187" s="31"/>
      <c r="GC187" s="14"/>
      <c r="GD187" s="14"/>
      <c r="GE187" s="14"/>
      <c r="GF187" s="14"/>
      <c r="GG187" s="14"/>
      <c r="GH187" s="14"/>
      <c r="GI187" s="14"/>
      <c r="GJ187" s="14"/>
      <c r="GK187" s="14"/>
      <c r="GL187" s="14"/>
      <c r="GM187" s="14"/>
      <c r="GN187" s="14"/>
      <c r="GO187" s="14"/>
      <c r="GP187" s="14"/>
      <c r="GQ187" s="14"/>
      <c r="GR187" s="14"/>
      <c r="GS187" s="14"/>
      <c r="GT187" s="14"/>
      <c r="GU187" s="14"/>
      <c r="GV187" s="14"/>
      <c r="GW187" s="14"/>
      <c r="GX187" s="14"/>
      <c r="GY187" s="14"/>
      <c r="GZ187" s="14"/>
      <c r="HA187" s="14"/>
    </row>
    <row r="188" ht="18.0" customHeight="1">
      <c r="A188" s="1"/>
      <c r="B188" s="28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282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31"/>
      <c r="FA188" s="31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14"/>
      <c r="FW188" s="14"/>
      <c r="FX188" s="14"/>
      <c r="FY188" s="14"/>
      <c r="FZ188" s="14"/>
      <c r="GA188" s="14"/>
      <c r="GB188" s="31"/>
      <c r="GC188" s="14"/>
      <c r="GD188" s="14"/>
      <c r="GE188" s="14"/>
      <c r="GF188" s="14"/>
      <c r="GG188" s="14"/>
      <c r="GH188" s="14"/>
      <c r="GI188" s="14"/>
      <c r="GJ188" s="14"/>
      <c r="GK188" s="14"/>
      <c r="GL188" s="14"/>
      <c r="GM188" s="14"/>
      <c r="GN188" s="14"/>
      <c r="GO188" s="14"/>
      <c r="GP188" s="14"/>
      <c r="GQ188" s="14"/>
      <c r="GR188" s="14"/>
      <c r="GS188" s="14"/>
      <c r="GT188" s="14"/>
      <c r="GU188" s="14"/>
      <c r="GV188" s="14"/>
      <c r="GW188" s="14"/>
      <c r="GX188" s="14"/>
      <c r="GY188" s="14"/>
      <c r="GZ188" s="14"/>
      <c r="HA188" s="14"/>
    </row>
    <row r="189" ht="18.0" customHeight="1">
      <c r="A189" s="1"/>
      <c r="B189" s="283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287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282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31"/>
      <c r="FA189" s="31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14"/>
      <c r="FW189" s="14"/>
      <c r="FX189" s="14"/>
      <c r="FY189" s="14"/>
      <c r="FZ189" s="14"/>
      <c r="GA189" s="14"/>
      <c r="GB189" s="31"/>
      <c r="GC189" s="14"/>
      <c r="GD189" s="14"/>
      <c r="GE189" s="14"/>
      <c r="GF189" s="14"/>
      <c r="GG189" s="14"/>
      <c r="GH189" s="14"/>
      <c r="GI189" s="14"/>
      <c r="GJ189" s="14"/>
      <c r="GK189" s="14"/>
      <c r="GL189" s="14"/>
      <c r="GM189" s="14"/>
      <c r="GN189" s="14"/>
      <c r="GO189" s="14"/>
      <c r="GP189" s="14"/>
      <c r="GQ189" s="14"/>
      <c r="GR189" s="14"/>
      <c r="GS189" s="14"/>
      <c r="GT189" s="14"/>
      <c r="GU189" s="14"/>
      <c r="GV189" s="14"/>
      <c r="GW189" s="14"/>
      <c r="GX189" s="14"/>
      <c r="GY189" s="14"/>
      <c r="GZ189" s="14"/>
      <c r="HA189" s="14"/>
    </row>
    <row r="190" ht="18.0" customHeight="1">
      <c r="A190" s="1"/>
      <c r="B190" s="28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282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31"/>
      <c r="FA190" s="31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  <c r="GB190" s="31"/>
      <c r="GC190" s="14"/>
      <c r="GD190" s="14"/>
      <c r="GE190" s="14"/>
      <c r="GF190" s="14"/>
      <c r="GG190" s="14"/>
      <c r="GH190" s="14"/>
      <c r="GI190" s="14"/>
      <c r="GJ190" s="14"/>
      <c r="GK190" s="14"/>
      <c r="GL190" s="14"/>
      <c r="GM190" s="14"/>
      <c r="GN190" s="14"/>
      <c r="GO190" s="14"/>
      <c r="GP190" s="14"/>
      <c r="GQ190" s="14"/>
      <c r="GR190" s="14"/>
      <c r="GS190" s="14"/>
      <c r="GT190" s="14"/>
      <c r="GU190" s="14"/>
      <c r="GV190" s="14"/>
      <c r="GW190" s="14"/>
      <c r="GX190" s="14"/>
      <c r="GY190" s="14"/>
      <c r="GZ190" s="14"/>
      <c r="HA190" s="14"/>
    </row>
    <row r="191" ht="18.0" customHeight="1">
      <c r="A191" s="1"/>
      <c r="B191" s="9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282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31"/>
      <c r="FA191" s="31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  <c r="GB191" s="31"/>
      <c r="GC191" s="14"/>
      <c r="GD191" s="14"/>
      <c r="GE191" s="14"/>
      <c r="GF191" s="14"/>
      <c r="GG191" s="14"/>
      <c r="GH191" s="14"/>
      <c r="GI191" s="14"/>
      <c r="GJ191" s="14"/>
      <c r="GK191" s="14"/>
      <c r="GL191" s="14"/>
      <c r="GM191" s="14"/>
      <c r="GN191" s="14"/>
      <c r="GO191" s="14"/>
      <c r="GP191" s="14"/>
      <c r="GQ191" s="14"/>
      <c r="GR191" s="14"/>
      <c r="GS191" s="14"/>
      <c r="GT191" s="14"/>
      <c r="GU191" s="14"/>
      <c r="GV191" s="14"/>
      <c r="GW191" s="14"/>
      <c r="GX191" s="14"/>
      <c r="GY191" s="14"/>
      <c r="GZ191" s="14"/>
      <c r="HA191" s="14"/>
    </row>
    <row r="192" ht="18.0" customHeight="1">
      <c r="A192" s="1"/>
      <c r="B192" s="283"/>
      <c r="C192" s="244"/>
      <c r="D192" s="244"/>
      <c r="E192" s="244"/>
      <c r="F192" s="244"/>
      <c r="G192" s="244"/>
      <c r="H192" s="244"/>
      <c r="I192" s="244"/>
      <c r="J192" s="244"/>
      <c r="K192" s="244"/>
      <c r="L192" s="244"/>
      <c r="M192" s="244"/>
      <c r="N192" s="244"/>
      <c r="O192" s="244"/>
      <c r="P192" s="244"/>
      <c r="Q192" s="244"/>
      <c r="R192" s="244"/>
      <c r="S192" s="244"/>
      <c r="T192" s="244"/>
      <c r="U192" s="244"/>
      <c r="V192" s="244"/>
      <c r="W192" s="244"/>
      <c r="X192" s="244"/>
      <c r="Y192" s="244"/>
      <c r="Z192" s="244"/>
      <c r="AA192" s="244"/>
      <c r="AB192" s="244"/>
      <c r="AC192" s="244"/>
      <c r="AD192" s="244"/>
      <c r="AE192" s="244"/>
      <c r="AF192" s="24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282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31"/>
      <c r="FA192" s="31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14"/>
      <c r="FW192" s="14"/>
      <c r="FX192" s="14"/>
      <c r="FY192" s="14"/>
      <c r="FZ192" s="14"/>
      <c r="GA192" s="14"/>
      <c r="GB192" s="31"/>
      <c r="GC192" s="14"/>
      <c r="GD192" s="14"/>
      <c r="GE192" s="14"/>
      <c r="GF192" s="14"/>
      <c r="GG192" s="14"/>
      <c r="GH192" s="14"/>
      <c r="GI192" s="14"/>
      <c r="GJ192" s="14"/>
      <c r="GK192" s="14"/>
      <c r="GL192" s="14"/>
      <c r="GM192" s="14"/>
      <c r="GN192" s="14"/>
      <c r="GO192" s="14"/>
      <c r="GP192" s="14"/>
      <c r="GQ192" s="14"/>
      <c r="GR192" s="14"/>
      <c r="GS192" s="14"/>
      <c r="GT192" s="14"/>
      <c r="GU192" s="14"/>
      <c r="GV192" s="14"/>
      <c r="GW192" s="14"/>
      <c r="GX192" s="14"/>
      <c r="GY192" s="14"/>
      <c r="GZ192" s="14"/>
      <c r="HA192" s="14"/>
    </row>
    <row r="193" ht="18.0" customHeight="1">
      <c r="A193" s="1"/>
      <c r="B193" s="283"/>
      <c r="C193" s="244"/>
      <c r="D193" s="244"/>
      <c r="E193" s="244"/>
      <c r="F193" s="244"/>
      <c r="G193" s="244"/>
      <c r="H193" s="244"/>
      <c r="I193" s="244"/>
      <c r="J193" s="244"/>
      <c r="K193" s="244"/>
      <c r="L193" s="244"/>
      <c r="M193" s="244"/>
      <c r="N193" s="244"/>
      <c r="O193" s="244"/>
      <c r="P193" s="244"/>
      <c r="Q193" s="244"/>
      <c r="R193" s="244"/>
      <c r="S193" s="244"/>
      <c r="T193" s="244"/>
      <c r="U193" s="244"/>
      <c r="V193" s="244"/>
      <c r="W193" s="244"/>
      <c r="X193" s="244"/>
      <c r="Y193" s="244"/>
      <c r="Z193" s="244"/>
      <c r="AA193" s="244"/>
      <c r="AB193" s="244"/>
      <c r="AC193" s="244"/>
      <c r="AD193" s="244"/>
      <c r="AE193" s="244"/>
      <c r="AF193" s="24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282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31"/>
      <c r="FA193" s="31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  <c r="GB193" s="31"/>
      <c r="GC193" s="14"/>
      <c r="GD193" s="14"/>
      <c r="GE193" s="14"/>
      <c r="GF193" s="14"/>
      <c r="GG193" s="14"/>
      <c r="GH193" s="14"/>
      <c r="GI193" s="14"/>
      <c r="GJ193" s="14"/>
      <c r="GK193" s="14"/>
      <c r="GL193" s="14"/>
      <c r="GM193" s="14"/>
      <c r="GN193" s="14"/>
      <c r="GO193" s="14"/>
      <c r="GP193" s="14"/>
      <c r="GQ193" s="14"/>
      <c r="GR193" s="14"/>
      <c r="GS193" s="14"/>
      <c r="GT193" s="14"/>
      <c r="GU193" s="14"/>
      <c r="GV193" s="14"/>
      <c r="GW193" s="14"/>
      <c r="GX193" s="14"/>
      <c r="GY193" s="14"/>
      <c r="GZ193" s="14"/>
      <c r="HA193" s="14"/>
    </row>
    <row r="194" ht="18.0" customHeight="1">
      <c r="A194" s="1"/>
      <c r="B194" s="283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295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282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31"/>
      <c r="FA194" s="31"/>
      <c r="FB194" s="14"/>
      <c r="FC194" s="14"/>
      <c r="FD194" s="14"/>
      <c r="FE194" s="14"/>
      <c r="FF194" s="14"/>
      <c r="FG194" s="14"/>
      <c r="FH194" s="14"/>
      <c r="FI194" s="14"/>
      <c r="FJ194" s="14"/>
      <c r="FK194" s="14"/>
      <c r="FL194" s="14"/>
      <c r="FM194" s="14"/>
      <c r="FN194" s="14"/>
      <c r="FO194" s="14"/>
      <c r="FP194" s="14"/>
      <c r="FQ194" s="14"/>
      <c r="FR194" s="14"/>
      <c r="FS194" s="14"/>
      <c r="FT194" s="14"/>
      <c r="FU194" s="14"/>
      <c r="FV194" s="14"/>
      <c r="FW194" s="14"/>
      <c r="FX194" s="14"/>
      <c r="FY194" s="14"/>
      <c r="FZ194" s="14"/>
      <c r="GA194" s="14"/>
      <c r="GB194" s="31"/>
      <c r="GC194" s="14"/>
      <c r="GD194" s="14"/>
      <c r="GE194" s="14"/>
      <c r="GF194" s="14"/>
      <c r="GG194" s="14"/>
      <c r="GH194" s="14"/>
      <c r="GI194" s="14"/>
      <c r="GJ194" s="14"/>
      <c r="GK194" s="14"/>
      <c r="GL194" s="14"/>
      <c r="GM194" s="14"/>
      <c r="GN194" s="14"/>
      <c r="GO194" s="14"/>
      <c r="GP194" s="14"/>
      <c r="GQ194" s="14"/>
      <c r="GR194" s="14"/>
      <c r="GS194" s="14"/>
      <c r="GT194" s="14"/>
      <c r="GU194" s="14"/>
      <c r="GV194" s="14"/>
      <c r="GW194" s="14"/>
      <c r="GX194" s="14"/>
      <c r="GY194" s="14"/>
      <c r="GZ194" s="14"/>
      <c r="HA194" s="14"/>
    </row>
    <row r="195" ht="18.0" customHeight="1">
      <c r="A195" s="1"/>
      <c r="B195" s="284"/>
      <c r="C195" s="94"/>
      <c r="D195" s="295"/>
      <c r="E195" s="295"/>
      <c r="F195" s="295"/>
      <c r="G195" s="295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295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282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31"/>
      <c r="FA195" s="31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31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14"/>
      <c r="GT195" s="14"/>
      <c r="GU195" s="14"/>
      <c r="GV195" s="14"/>
      <c r="GW195" s="14"/>
      <c r="GX195" s="14"/>
      <c r="GY195" s="14"/>
      <c r="GZ195" s="14"/>
      <c r="HA195" s="14"/>
    </row>
    <row r="196" ht="18.0" customHeight="1">
      <c r="A196" s="1"/>
      <c r="B196" s="283"/>
      <c r="C196" s="94"/>
      <c r="D196" s="94"/>
      <c r="E196" s="94"/>
      <c r="F196" s="94"/>
      <c r="G196" s="94"/>
      <c r="H196" s="94"/>
      <c r="I196" s="94"/>
      <c r="J196" s="94"/>
      <c r="K196" s="287"/>
      <c r="L196" s="287"/>
      <c r="M196" s="287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296"/>
      <c r="AA196" s="296"/>
      <c r="AB196" s="94"/>
      <c r="AC196" s="94"/>
      <c r="AD196" s="94"/>
      <c r="AE196" s="94"/>
      <c r="AF196" s="9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282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31"/>
      <c r="FA196" s="31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31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14"/>
      <c r="GT196" s="14"/>
      <c r="GU196" s="14"/>
      <c r="GV196" s="14"/>
      <c r="GW196" s="14"/>
      <c r="GX196" s="14"/>
      <c r="GY196" s="14"/>
      <c r="GZ196" s="14"/>
      <c r="HA196" s="14"/>
    </row>
    <row r="197" ht="18.0" customHeight="1">
      <c r="A197" s="1"/>
      <c r="B197" s="28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282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31"/>
      <c r="FA197" s="31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/>
      <c r="FT197" s="14"/>
      <c r="FU197" s="14"/>
      <c r="FV197" s="14"/>
      <c r="FW197" s="14"/>
      <c r="FX197" s="14"/>
      <c r="FY197" s="14"/>
      <c r="FZ197" s="14"/>
      <c r="GA197" s="14"/>
      <c r="GB197" s="31"/>
      <c r="GC197" s="14"/>
      <c r="GD197" s="14"/>
      <c r="GE197" s="14"/>
      <c r="GF197" s="14"/>
      <c r="GG197" s="14"/>
      <c r="GH197" s="14"/>
      <c r="GI197" s="14"/>
      <c r="GJ197" s="14"/>
      <c r="GK197" s="14"/>
      <c r="GL197" s="14"/>
      <c r="GM197" s="14"/>
      <c r="GN197" s="14"/>
      <c r="GO197" s="14"/>
      <c r="GP197" s="14"/>
      <c r="GQ197" s="14"/>
      <c r="GR197" s="14"/>
      <c r="GS197" s="14"/>
      <c r="GT197" s="14"/>
      <c r="GU197" s="14"/>
      <c r="GV197" s="14"/>
      <c r="GW197" s="14"/>
      <c r="GX197" s="14"/>
      <c r="GY197" s="14"/>
      <c r="GZ197" s="14"/>
      <c r="HA197" s="14"/>
    </row>
    <row r="198" ht="18.0" customHeight="1">
      <c r="A198" s="1"/>
      <c r="B198" s="283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287"/>
      <c r="O198" s="94"/>
      <c r="P198" s="94"/>
      <c r="Q198" s="94"/>
      <c r="R198" s="287"/>
      <c r="S198" s="287"/>
      <c r="T198" s="287"/>
      <c r="U198" s="287"/>
      <c r="V198" s="94"/>
      <c r="W198" s="94"/>
      <c r="X198" s="94"/>
      <c r="Y198" s="296"/>
      <c r="Z198" s="94"/>
      <c r="AA198" s="94"/>
      <c r="AB198" s="94"/>
      <c r="AC198" s="94"/>
      <c r="AD198" s="94"/>
      <c r="AE198" s="94"/>
      <c r="AF198" s="295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282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31"/>
      <c r="FA198" s="31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14"/>
      <c r="FW198" s="14"/>
      <c r="FX198" s="14"/>
      <c r="FY198" s="14"/>
      <c r="FZ198" s="14"/>
      <c r="GA198" s="14"/>
      <c r="GB198" s="31"/>
      <c r="GC198" s="14"/>
      <c r="GD198" s="14"/>
      <c r="GE198" s="14"/>
      <c r="GF198" s="14"/>
      <c r="GG198" s="14"/>
      <c r="GH198" s="14"/>
      <c r="GI198" s="14"/>
      <c r="GJ198" s="14"/>
      <c r="GK198" s="14"/>
      <c r="GL198" s="14"/>
      <c r="GM198" s="14"/>
      <c r="GN198" s="14"/>
      <c r="GO198" s="14"/>
      <c r="GP198" s="14"/>
      <c r="GQ198" s="14"/>
      <c r="GR198" s="14"/>
      <c r="GS198" s="14"/>
      <c r="GT198" s="14"/>
      <c r="GU198" s="14"/>
      <c r="GV198" s="14"/>
      <c r="GW198" s="14"/>
      <c r="GX198" s="14"/>
      <c r="GY198" s="14"/>
      <c r="GZ198" s="14"/>
      <c r="HA198" s="14"/>
    </row>
    <row r="199" ht="18.0" customHeight="1">
      <c r="A199" s="1"/>
      <c r="B199" s="28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282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31"/>
      <c r="FA199" s="31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  <c r="FL199" s="14"/>
      <c r="FM199" s="14"/>
      <c r="FN199" s="14"/>
      <c r="FO199" s="14"/>
      <c r="FP199" s="14"/>
      <c r="FQ199" s="14"/>
      <c r="FR199" s="14"/>
      <c r="FS199" s="14"/>
      <c r="FT199" s="14"/>
      <c r="FU199" s="14"/>
      <c r="FV199" s="14"/>
      <c r="FW199" s="14"/>
      <c r="FX199" s="14"/>
      <c r="FY199" s="14"/>
      <c r="FZ199" s="14"/>
      <c r="GA199" s="14"/>
      <c r="GB199" s="31"/>
      <c r="GC199" s="14"/>
      <c r="GD199" s="14"/>
      <c r="GE199" s="14"/>
      <c r="GF199" s="14"/>
      <c r="GG199" s="14"/>
      <c r="GH199" s="14"/>
      <c r="GI199" s="14"/>
      <c r="GJ199" s="14"/>
      <c r="GK199" s="14"/>
      <c r="GL199" s="14"/>
      <c r="GM199" s="14"/>
      <c r="GN199" s="14"/>
      <c r="GO199" s="14"/>
      <c r="GP199" s="14"/>
      <c r="GQ199" s="14"/>
      <c r="GR199" s="14"/>
      <c r="GS199" s="14"/>
      <c r="GT199" s="14"/>
      <c r="GU199" s="14"/>
      <c r="GV199" s="14"/>
      <c r="GW199" s="14"/>
      <c r="GX199" s="14"/>
      <c r="GY199" s="14"/>
      <c r="GZ199" s="14"/>
      <c r="HA199" s="14"/>
    </row>
    <row r="200" ht="18.0" customHeight="1">
      <c r="A200" s="1"/>
      <c r="B200" s="283"/>
      <c r="C200" s="94"/>
      <c r="D200" s="287"/>
      <c r="E200" s="94"/>
      <c r="F200" s="94"/>
      <c r="G200" s="94"/>
      <c r="H200" s="94"/>
      <c r="I200" s="94"/>
      <c r="J200" s="94"/>
      <c r="K200" s="94"/>
      <c r="L200" s="94"/>
      <c r="M200" s="94"/>
      <c r="N200" s="295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296"/>
      <c r="AB200" s="94"/>
      <c r="AC200" s="94"/>
      <c r="AD200" s="94"/>
      <c r="AE200" s="94"/>
      <c r="AF200" s="287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282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31"/>
      <c r="FA200" s="31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  <c r="FL200" s="14"/>
      <c r="FM200" s="14"/>
      <c r="FN200" s="14"/>
      <c r="FO200" s="14"/>
      <c r="FP200" s="14"/>
      <c r="FQ200" s="14"/>
      <c r="FR200" s="14"/>
      <c r="FS200" s="14"/>
      <c r="FT200" s="14"/>
      <c r="FU200" s="14"/>
      <c r="FV200" s="14"/>
      <c r="FW200" s="14"/>
      <c r="FX200" s="14"/>
      <c r="FY200" s="14"/>
      <c r="FZ200" s="14"/>
      <c r="GA200" s="14"/>
      <c r="GB200" s="31"/>
      <c r="GC200" s="14"/>
      <c r="GD200" s="14"/>
      <c r="GE200" s="14"/>
      <c r="GF200" s="14"/>
      <c r="GG200" s="14"/>
      <c r="GH200" s="14"/>
      <c r="GI200" s="14"/>
      <c r="GJ200" s="14"/>
      <c r="GK200" s="14"/>
      <c r="GL200" s="14"/>
      <c r="GM200" s="14"/>
      <c r="GN200" s="14"/>
      <c r="GO200" s="14"/>
      <c r="GP200" s="14"/>
      <c r="GQ200" s="14"/>
      <c r="GR200" s="14"/>
      <c r="GS200" s="14"/>
      <c r="GT200" s="14"/>
      <c r="GU200" s="14"/>
      <c r="GV200" s="14"/>
      <c r="GW200" s="14"/>
      <c r="GX200" s="14"/>
      <c r="GY200" s="14"/>
      <c r="GZ200" s="14"/>
      <c r="HA200" s="14"/>
    </row>
    <row r="201" ht="18.0" customHeight="1">
      <c r="A201" s="1"/>
      <c r="B201" s="28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295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282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31"/>
      <c r="FA201" s="31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31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</row>
    <row r="202" ht="18.0" customHeight="1">
      <c r="A202" s="1"/>
      <c r="B202" s="283"/>
      <c r="C202" s="94"/>
      <c r="D202" s="94"/>
      <c r="E202" s="94"/>
      <c r="F202" s="287"/>
      <c r="G202" s="287"/>
      <c r="H202" s="94"/>
      <c r="I202" s="94"/>
      <c r="J202" s="94"/>
      <c r="K202" s="94"/>
      <c r="L202" s="94"/>
      <c r="M202" s="287"/>
      <c r="N202" s="94"/>
      <c r="O202" s="94"/>
      <c r="P202" s="94"/>
      <c r="Q202" s="94"/>
      <c r="R202" s="94"/>
      <c r="S202" s="94"/>
      <c r="T202" s="94"/>
      <c r="U202" s="287"/>
      <c r="V202" s="94"/>
      <c r="W202" s="94"/>
      <c r="X202" s="94"/>
      <c r="Y202" s="287"/>
      <c r="Z202" s="287"/>
      <c r="AA202" s="287"/>
      <c r="AB202" s="287"/>
      <c r="AC202" s="94"/>
      <c r="AD202" s="94"/>
      <c r="AE202" s="94"/>
      <c r="AF202" s="9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282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31"/>
      <c r="FA202" s="31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  <c r="FL202" s="14"/>
      <c r="FM202" s="14"/>
      <c r="FN202" s="14"/>
      <c r="FO202" s="14"/>
      <c r="FP202" s="14"/>
      <c r="FQ202" s="14"/>
      <c r="FR202" s="14"/>
      <c r="FS202" s="14"/>
      <c r="FT202" s="14"/>
      <c r="FU202" s="14"/>
      <c r="FV202" s="14"/>
      <c r="FW202" s="14"/>
      <c r="FX202" s="14"/>
      <c r="FY202" s="14"/>
      <c r="FZ202" s="14"/>
      <c r="GA202" s="14"/>
      <c r="GB202" s="31"/>
      <c r="GC202" s="14"/>
      <c r="GD202" s="14"/>
      <c r="GE202" s="14"/>
      <c r="GF202" s="14"/>
      <c r="GG202" s="14"/>
      <c r="GH202" s="14"/>
      <c r="GI202" s="14"/>
      <c r="GJ202" s="14"/>
      <c r="GK202" s="14"/>
      <c r="GL202" s="14"/>
      <c r="GM202" s="14"/>
      <c r="GN202" s="14"/>
      <c r="GO202" s="14"/>
      <c r="GP202" s="14"/>
      <c r="GQ202" s="14"/>
      <c r="GR202" s="14"/>
      <c r="GS202" s="14"/>
      <c r="GT202" s="14"/>
      <c r="GU202" s="14"/>
      <c r="GV202" s="14"/>
      <c r="GW202" s="14"/>
      <c r="GX202" s="14"/>
      <c r="GY202" s="14"/>
      <c r="GZ202" s="14"/>
      <c r="HA202" s="14"/>
    </row>
    <row r="203" ht="18.0" customHeight="1">
      <c r="A203" s="1"/>
      <c r="B203" s="28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287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282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31"/>
      <c r="FA203" s="31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14"/>
      <c r="FU203" s="14"/>
      <c r="FV203" s="14"/>
      <c r="FW203" s="14"/>
      <c r="FX203" s="14"/>
      <c r="FY203" s="14"/>
      <c r="FZ203" s="14"/>
      <c r="GA203" s="14"/>
      <c r="GB203" s="31"/>
      <c r="GC203" s="14"/>
      <c r="GD203" s="14"/>
      <c r="GE203" s="14"/>
      <c r="GF203" s="14"/>
      <c r="GG203" s="14"/>
      <c r="GH203" s="14"/>
      <c r="GI203" s="14"/>
      <c r="GJ203" s="14"/>
      <c r="GK203" s="14"/>
      <c r="GL203" s="14"/>
      <c r="GM203" s="14"/>
      <c r="GN203" s="14"/>
      <c r="GO203" s="14"/>
      <c r="GP203" s="14"/>
      <c r="GQ203" s="14"/>
      <c r="GR203" s="14"/>
      <c r="GS203" s="14"/>
      <c r="GT203" s="14"/>
      <c r="GU203" s="14"/>
      <c r="GV203" s="14"/>
      <c r="GW203" s="14"/>
      <c r="GX203" s="14"/>
      <c r="GY203" s="14"/>
      <c r="GZ203" s="14"/>
      <c r="HA203" s="14"/>
    </row>
    <row r="204" ht="18.0" customHeight="1">
      <c r="A204" s="1"/>
      <c r="B204" s="283"/>
      <c r="C204" s="94"/>
      <c r="D204" s="94"/>
      <c r="E204" s="94"/>
      <c r="F204" s="94"/>
      <c r="G204" s="287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295"/>
      <c r="V204" s="94"/>
      <c r="W204" s="94"/>
      <c r="X204" s="94"/>
      <c r="Y204" s="94"/>
      <c r="Z204" s="94"/>
      <c r="AA204" s="94"/>
      <c r="AB204" s="296"/>
      <c r="AC204" s="94"/>
      <c r="AD204" s="94"/>
      <c r="AE204" s="94"/>
      <c r="AF204" s="9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282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31"/>
      <c r="FA204" s="31"/>
      <c r="FB204" s="14"/>
      <c r="FC204" s="14"/>
      <c r="FD204" s="14"/>
      <c r="FE204" s="14"/>
      <c r="FF204" s="14"/>
      <c r="FG204" s="14"/>
      <c r="FH204" s="14"/>
      <c r="FI204" s="14"/>
      <c r="FJ204" s="14"/>
      <c r="FK204" s="14"/>
      <c r="FL204" s="14"/>
      <c r="FM204" s="14"/>
      <c r="FN204" s="14"/>
      <c r="FO204" s="14"/>
      <c r="FP204" s="14"/>
      <c r="FQ204" s="14"/>
      <c r="FR204" s="14"/>
      <c r="FS204" s="14"/>
      <c r="FT204" s="14"/>
      <c r="FU204" s="14"/>
      <c r="FV204" s="14"/>
      <c r="FW204" s="14"/>
      <c r="FX204" s="14"/>
      <c r="FY204" s="14"/>
      <c r="FZ204" s="14"/>
      <c r="GA204" s="14"/>
      <c r="GB204" s="31"/>
      <c r="GC204" s="14"/>
      <c r="GD204" s="14"/>
      <c r="GE204" s="14"/>
      <c r="GF204" s="14"/>
      <c r="GG204" s="14"/>
      <c r="GH204" s="14"/>
      <c r="GI204" s="14"/>
      <c r="GJ204" s="14"/>
      <c r="GK204" s="14"/>
      <c r="GL204" s="14"/>
      <c r="GM204" s="14"/>
      <c r="GN204" s="14"/>
      <c r="GO204" s="14"/>
      <c r="GP204" s="14"/>
      <c r="GQ204" s="14"/>
      <c r="GR204" s="14"/>
      <c r="GS204" s="14"/>
      <c r="GT204" s="14"/>
      <c r="GU204" s="14"/>
      <c r="GV204" s="14"/>
      <c r="GW204" s="14"/>
      <c r="GX204" s="14"/>
      <c r="GY204" s="14"/>
      <c r="GZ204" s="14"/>
      <c r="HA204" s="14"/>
    </row>
    <row r="205" ht="18.0" customHeight="1">
      <c r="A205" s="1"/>
      <c r="B205" s="28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282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31"/>
      <c r="FA205" s="31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  <c r="FL205" s="14"/>
      <c r="FM205" s="14"/>
      <c r="FN205" s="14"/>
      <c r="FO205" s="14"/>
      <c r="FP205" s="14"/>
      <c r="FQ205" s="14"/>
      <c r="FR205" s="14"/>
      <c r="FS205" s="14"/>
      <c r="FT205" s="14"/>
      <c r="FU205" s="14"/>
      <c r="FV205" s="14"/>
      <c r="FW205" s="14"/>
      <c r="FX205" s="14"/>
      <c r="FY205" s="14"/>
      <c r="FZ205" s="14"/>
      <c r="GA205" s="14"/>
      <c r="GB205" s="31"/>
      <c r="GC205" s="14"/>
      <c r="GD205" s="14"/>
      <c r="GE205" s="14"/>
      <c r="GF205" s="14"/>
      <c r="GG205" s="14"/>
      <c r="GH205" s="14"/>
      <c r="GI205" s="14"/>
      <c r="GJ205" s="14"/>
      <c r="GK205" s="14"/>
      <c r="GL205" s="14"/>
      <c r="GM205" s="14"/>
      <c r="GN205" s="14"/>
      <c r="GO205" s="14"/>
      <c r="GP205" s="14"/>
      <c r="GQ205" s="14"/>
      <c r="GR205" s="14"/>
      <c r="GS205" s="14"/>
      <c r="GT205" s="14"/>
      <c r="GU205" s="14"/>
      <c r="GV205" s="14"/>
      <c r="GW205" s="14"/>
      <c r="GX205" s="14"/>
      <c r="GY205" s="14"/>
      <c r="GZ205" s="14"/>
      <c r="HA205" s="14"/>
    </row>
    <row r="206" ht="18.0" customHeight="1">
      <c r="A206" s="1"/>
      <c r="B206" s="283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296"/>
      <c r="AC206" s="94"/>
      <c r="AD206" s="94"/>
      <c r="AE206" s="94"/>
      <c r="AF206" s="94"/>
      <c r="AG206" s="9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282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31"/>
      <c r="FA206" s="31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14"/>
      <c r="FW206" s="14"/>
      <c r="FX206" s="14"/>
      <c r="FY206" s="14"/>
      <c r="FZ206" s="14"/>
      <c r="GA206" s="14"/>
      <c r="GB206" s="31"/>
      <c r="GC206" s="14"/>
      <c r="GD206" s="14"/>
      <c r="GE206" s="14"/>
      <c r="GF206" s="14"/>
      <c r="GG206" s="14"/>
      <c r="GH206" s="14"/>
      <c r="GI206" s="14"/>
      <c r="GJ206" s="14"/>
      <c r="GK206" s="14"/>
      <c r="GL206" s="14"/>
      <c r="GM206" s="14"/>
      <c r="GN206" s="14"/>
      <c r="GO206" s="14"/>
      <c r="GP206" s="14"/>
      <c r="GQ206" s="14"/>
      <c r="GR206" s="14"/>
      <c r="GS206" s="14"/>
      <c r="GT206" s="14"/>
      <c r="GU206" s="14"/>
      <c r="GV206" s="14"/>
      <c r="GW206" s="14"/>
      <c r="GX206" s="14"/>
      <c r="GY206" s="14"/>
      <c r="GZ206" s="14"/>
      <c r="HA206" s="14"/>
    </row>
    <row r="207" ht="18.0" customHeight="1">
      <c r="A207" s="1"/>
      <c r="B207" s="28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282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31"/>
      <c r="FA207" s="31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14"/>
      <c r="FW207" s="14"/>
      <c r="FX207" s="14"/>
      <c r="FY207" s="14"/>
      <c r="FZ207" s="14"/>
      <c r="GA207" s="14"/>
      <c r="GB207" s="31"/>
      <c r="GC207" s="14"/>
      <c r="GD207" s="14"/>
      <c r="GE207" s="14"/>
      <c r="GF207" s="14"/>
      <c r="GG207" s="14"/>
      <c r="GH207" s="14"/>
      <c r="GI207" s="14"/>
      <c r="GJ207" s="14"/>
      <c r="GK207" s="14"/>
      <c r="GL207" s="14"/>
      <c r="GM207" s="14"/>
      <c r="GN207" s="14"/>
      <c r="GO207" s="14"/>
      <c r="GP207" s="14"/>
      <c r="GQ207" s="14"/>
      <c r="GR207" s="14"/>
      <c r="GS207" s="14"/>
      <c r="GT207" s="14"/>
      <c r="GU207" s="14"/>
      <c r="GV207" s="14"/>
      <c r="GW207" s="14"/>
      <c r="GX207" s="14"/>
      <c r="GY207" s="14"/>
      <c r="GZ207" s="14"/>
      <c r="HA207" s="14"/>
    </row>
    <row r="208" ht="18.0" customHeight="1">
      <c r="A208" s="1"/>
      <c r="B208" s="283"/>
      <c r="C208" s="94"/>
      <c r="D208" s="287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282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31"/>
      <c r="FA208" s="31"/>
      <c r="FB208" s="14"/>
      <c r="FC208" s="14"/>
      <c r="FD208" s="14"/>
      <c r="FE208" s="14"/>
      <c r="FF208" s="14"/>
      <c r="FG208" s="14"/>
      <c r="FH208" s="14"/>
      <c r="FI208" s="14"/>
      <c r="FJ208" s="14"/>
      <c r="FK208" s="14"/>
      <c r="FL208" s="14"/>
      <c r="FM208" s="14"/>
      <c r="FN208" s="14"/>
      <c r="FO208" s="14"/>
      <c r="FP208" s="14"/>
      <c r="FQ208" s="14"/>
      <c r="FR208" s="14"/>
      <c r="FS208" s="14"/>
      <c r="FT208" s="14"/>
      <c r="FU208" s="14"/>
      <c r="FV208" s="14"/>
      <c r="FW208" s="14"/>
      <c r="FX208" s="14"/>
      <c r="FY208" s="14"/>
      <c r="FZ208" s="14"/>
      <c r="GA208" s="14"/>
      <c r="GB208" s="31"/>
      <c r="GC208" s="14"/>
      <c r="GD208" s="14"/>
      <c r="GE208" s="14"/>
      <c r="GF208" s="14"/>
      <c r="GG208" s="14"/>
      <c r="GH208" s="14"/>
      <c r="GI208" s="14"/>
      <c r="GJ208" s="14"/>
      <c r="GK208" s="14"/>
      <c r="GL208" s="14"/>
      <c r="GM208" s="14"/>
      <c r="GN208" s="14"/>
      <c r="GO208" s="14"/>
      <c r="GP208" s="14"/>
      <c r="GQ208" s="14"/>
      <c r="GR208" s="14"/>
      <c r="GS208" s="14"/>
      <c r="GT208" s="14"/>
      <c r="GU208" s="14"/>
      <c r="GV208" s="14"/>
      <c r="GW208" s="14"/>
      <c r="GX208" s="14"/>
      <c r="GY208" s="14"/>
      <c r="GZ208" s="14"/>
      <c r="HA208" s="14"/>
    </row>
    <row r="209" ht="18.0" customHeight="1">
      <c r="A209" s="1"/>
      <c r="B209" s="28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282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31"/>
      <c r="FA209" s="31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  <c r="FL209" s="14"/>
      <c r="FM209" s="14"/>
      <c r="FN209" s="14"/>
      <c r="FO209" s="14"/>
      <c r="FP209" s="14"/>
      <c r="FQ209" s="14"/>
      <c r="FR209" s="14"/>
      <c r="FS209" s="14"/>
      <c r="FT209" s="14"/>
      <c r="FU209" s="14"/>
      <c r="FV209" s="14"/>
      <c r="FW209" s="14"/>
      <c r="FX209" s="14"/>
      <c r="FY209" s="14"/>
      <c r="FZ209" s="14"/>
      <c r="GA209" s="14"/>
      <c r="GB209" s="31"/>
      <c r="GC209" s="14"/>
      <c r="GD209" s="14"/>
      <c r="GE209" s="14"/>
      <c r="GF209" s="14"/>
      <c r="GG209" s="14"/>
      <c r="GH209" s="14"/>
      <c r="GI209" s="14"/>
      <c r="GJ209" s="14"/>
      <c r="GK209" s="14"/>
      <c r="GL209" s="14"/>
      <c r="GM209" s="14"/>
      <c r="GN209" s="14"/>
      <c r="GO209" s="14"/>
      <c r="GP209" s="14"/>
      <c r="GQ209" s="14"/>
      <c r="GR209" s="14"/>
      <c r="GS209" s="14"/>
      <c r="GT209" s="14"/>
      <c r="GU209" s="14"/>
      <c r="GV209" s="14"/>
      <c r="GW209" s="14"/>
      <c r="GX209" s="14"/>
      <c r="GY209" s="14"/>
      <c r="GZ209" s="14"/>
      <c r="HA209" s="14"/>
    </row>
    <row r="210" ht="18.0" customHeight="1">
      <c r="A210" s="1"/>
      <c r="B210" s="9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282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31"/>
      <c r="FA210" s="31"/>
      <c r="FB210" s="14"/>
      <c r="FC210" s="14"/>
      <c r="FD210" s="14"/>
      <c r="FE210" s="14"/>
      <c r="FF210" s="14"/>
      <c r="FG210" s="14"/>
      <c r="FH210" s="14"/>
      <c r="FI210" s="14"/>
      <c r="FJ210" s="14"/>
      <c r="FK210" s="14"/>
      <c r="FL210" s="14"/>
      <c r="FM210" s="14"/>
      <c r="FN210" s="14"/>
      <c r="FO210" s="14"/>
      <c r="FP210" s="14"/>
      <c r="FQ210" s="14"/>
      <c r="FR210" s="14"/>
      <c r="FS210" s="14"/>
      <c r="FT210" s="14"/>
      <c r="FU210" s="14"/>
      <c r="FV210" s="14"/>
      <c r="FW210" s="14"/>
      <c r="FX210" s="14"/>
      <c r="FY210" s="14"/>
      <c r="FZ210" s="14"/>
      <c r="GA210" s="14"/>
      <c r="GB210" s="31"/>
      <c r="GC210" s="14"/>
      <c r="GD210" s="14"/>
      <c r="GE210" s="14"/>
      <c r="GF210" s="14"/>
      <c r="GG210" s="14"/>
      <c r="GH210" s="14"/>
      <c r="GI210" s="14"/>
      <c r="GJ210" s="14"/>
      <c r="GK210" s="14"/>
      <c r="GL210" s="14"/>
      <c r="GM210" s="14"/>
      <c r="GN210" s="14"/>
      <c r="GO210" s="14"/>
      <c r="GP210" s="14"/>
      <c r="GQ210" s="14"/>
      <c r="GR210" s="14"/>
      <c r="GS210" s="14"/>
      <c r="GT210" s="14"/>
      <c r="GU210" s="14"/>
      <c r="GV210" s="14"/>
      <c r="GW210" s="14"/>
      <c r="GX210" s="14"/>
      <c r="GY210" s="14"/>
      <c r="GZ210" s="14"/>
      <c r="HA210" s="14"/>
    </row>
    <row r="211" ht="18.0" customHeight="1">
      <c r="A211" s="1"/>
      <c r="B211" s="283"/>
      <c r="C211" s="244"/>
      <c r="D211" s="244"/>
      <c r="E211" s="244"/>
      <c r="F211" s="244"/>
      <c r="G211" s="244"/>
      <c r="H211" s="244"/>
      <c r="I211" s="244"/>
      <c r="J211" s="244"/>
      <c r="K211" s="244"/>
      <c r="L211" s="244"/>
      <c r="M211" s="244"/>
      <c r="N211" s="244"/>
      <c r="O211" s="244"/>
      <c r="P211" s="244"/>
      <c r="Q211" s="244"/>
      <c r="R211" s="244"/>
      <c r="S211" s="244"/>
      <c r="T211" s="244"/>
      <c r="U211" s="244"/>
      <c r="V211" s="244"/>
      <c r="W211" s="244"/>
      <c r="X211" s="244"/>
      <c r="Y211" s="244"/>
      <c r="Z211" s="244"/>
      <c r="AA211" s="244"/>
      <c r="AB211" s="244"/>
      <c r="AC211" s="244"/>
      <c r="AD211" s="244"/>
      <c r="AE211" s="244"/>
      <c r="AF211" s="244"/>
      <c r="AG211" s="24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282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31"/>
      <c r="FA211" s="31"/>
      <c r="FB211" s="14"/>
      <c r="FC211" s="14"/>
      <c r="FD211" s="14"/>
      <c r="FE211" s="14"/>
      <c r="FF211" s="14"/>
      <c r="FG211" s="14"/>
      <c r="FH211" s="14"/>
      <c r="FI211" s="14"/>
      <c r="FJ211" s="14"/>
      <c r="FK211" s="14"/>
      <c r="FL211" s="14"/>
      <c r="FM211" s="14"/>
      <c r="FN211" s="14"/>
      <c r="FO211" s="14"/>
      <c r="FP211" s="14"/>
      <c r="FQ211" s="14"/>
      <c r="FR211" s="14"/>
      <c r="FS211" s="14"/>
      <c r="FT211" s="14"/>
      <c r="FU211" s="14"/>
      <c r="FV211" s="14"/>
      <c r="FW211" s="14"/>
      <c r="FX211" s="14"/>
      <c r="FY211" s="14"/>
      <c r="FZ211" s="14"/>
      <c r="GA211" s="14"/>
      <c r="GB211" s="31"/>
      <c r="GC211" s="14"/>
      <c r="GD211" s="14"/>
      <c r="GE211" s="14"/>
      <c r="GF211" s="14"/>
      <c r="GG211" s="14"/>
      <c r="GH211" s="14"/>
      <c r="GI211" s="14"/>
      <c r="GJ211" s="14"/>
      <c r="GK211" s="14"/>
      <c r="GL211" s="14"/>
      <c r="GM211" s="14"/>
      <c r="GN211" s="14"/>
      <c r="GO211" s="14"/>
      <c r="GP211" s="14"/>
      <c r="GQ211" s="14"/>
      <c r="GR211" s="14"/>
      <c r="GS211" s="14"/>
      <c r="GT211" s="14"/>
      <c r="GU211" s="14"/>
      <c r="GV211" s="14"/>
      <c r="GW211" s="14"/>
      <c r="GX211" s="14"/>
      <c r="GY211" s="14"/>
      <c r="GZ211" s="14"/>
      <c r="HA211" s="14"/>
    </row>
    <row r="212" ht="18.0" customHeight="1">
      <c r="A212" s="1"/>
      <c r="B212" s="283"/>
      <c r="C212" s="244"/>
      <c r="D212" s="244"/>
      <c r="E212" s="244"/>
      <c r="F212" s="244"/>
      <c r="G212" s="244"/>
      <c r="H212" s="244"/>
      <c r="I212" s="244"/>
      <c r="J212" s="244"/>
      <c r="K212" s="244"/>
      <c r="L212" s="244"/>
      <c r="M212" s="244"/>
      <c r="N212" s="244"/>
      <c r="O212" s="244"/>
      <c r="P212" s="244"/>
      <c r="Q212" s="244"/>
      <c r="R212" s="244"/>
      <c r="S212" s="244"/>
      <c r="T212" s="244"/>
      <c r="U212" s="244"/>
      <c r="V212" s="244"/>
      <c r="W212" s="244"/>
      <c r="X212" s="244"/>
      <c r="Y212" s="244"/>
      <c r="Z212" s="244"/>
      <c r="AA212" s="244"/>
      <c r="AB212" s="244"/>
      <c r="AC212" s="244"/>
      <c r="AD212" s="244"/>
      <c r="AE212" s="244"/>
      <c r="AF212" s="244"/>
      <c r="AG212" s="24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282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4"/>
      <c r="DO212" s="14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14"/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31"/>
      <c r="FA212" s="31"/>
      <c r="FB212" s="14"/>
      <c r="FC212" s="14"/>
      <c r="FD212" s="14"/>
      <c r="FE212" s="14"/>
      <c r="FF212" s="14"/>
      <c r="FG212" s="14"/>
      <c r="FH212" s="14"/>
      <c r="FI212" s="14"/>
      <c r="FJ212" s="14"/>
      <c r="FK212" s="14"/>
      <c r="FL212" s="14"/>
      <c r="FM212" s="14"/>
      <c r="FN212" s="14"/>
      <c r="FO212" s="14"/>
      <c r="FP212" s="14"/>
      <c r="FQ212" s="14"/>
      <c r="FR212" s="14"/>
      <c r="FS212" s="14"/>
      <c r="FT212" s="14"/>
      <c r="FU212" s="14"/>
      <c r="FV212" s="14"/>
      <c r="FW212" s="14"/>
      <c r="FX212" s="14"/>
      <c r="FY212" s="14"/>
      <c r="FZ212" s="14"/>
      <c r="GA212" s="14"/>
      <c r="GB212" s="31"/>
      <c r="GC212" s="14"/>
      <c r="GD212" s="14"/>
      <c r="GE212" s="14"/>
      <c r="GF212" s="14"/>
      <c r="GG212" s="14"/>
      <c r="GH212" s="14"/>
      <c r="GI212" s="14"/>
      <c r="GJ212" s="14"/>
      <c r="GK212" s="14"/>
      <c r="GL212" s="14"/>
      <c r="GM212" s="14"/>
      <c r="GN212" s="14"/>
      <c r="GO212" s="14"/>
      <c r="GP212" s="14"/>
      <c r="GQ212" s="14"/>
      <c r="GR212" s="14"/>
      <c r="GS212" s="14"/>
      <c r="GT212" s="14"/>
      <c r="GU212" s="14"/>
      <c r="GV212" s="14"/>
      <c r="GW212" s="14"/>
      <c r="GX212" s="14"/>
      <c r="GY212" s="14"/>
      <c r="GZ212" s="14"/>
      <c r="HA212" s="14"/>
    </row>
    <row r="213" ht="18.0" customHeight="1">
      <c r="A213" s="1"/>
      <c r="B213" s="283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287"/>
      <c r="AE213" s="287"/>
      <c r="AF213" s="287"/>
      <c r="AG213" s="9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282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4"/>
      <c r="DO213" s="14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4"/>
      <c r="EJ213" s="14"/>
      <c r="EK213" s="14"/>
      <c r="EL213" s="14"/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31"/>
      <c r="FA213" s="31"/>
      <c r="FB213" s="14"/>
      <c r="FC213" s="14"/>
      <c r="FD213" s="14"/>
      <c r="FE213" s="14"/>
      <c r="FF213" s="14"/>
      <c r="FG213" s="14"/>
      <c r="FH213" s="14"/>
      <c r="FI213" s="14"/>
      <c r="FJ213" s="14"/>
      <c r="FK213" s="14"/>
      <c r="FL213" s="14"/>
      <c r="FM213" s="14"/>
      <c r="FN213" s="14"/>
      <c r="FO213" s="14"/>
      <c r="FP213" s="14"/>
      <c r="FQ213" s="14"/>
      <c r="FR213" s="14"/>
      <c r="FS213" s="14"/>
      <c r="FT213" s="14"/>
      <c r="FU213" s="14"/>
      <c r="FV213" s="14"/>
      <c r="FW213" s="14"/>
      <c r="FX213" s="14"/>
      <c r="FY213" s="14"/>
      <c r="FZ213" s="14"/>
      <c r="GA213" s="14"/>
      <c r="GB213" s="31"/>
      <c r="GC213" s="14"/>
      <c r="GD213" s="14"/>
      <c r="GE213" s="14"/>
      <c r="GF213" s="14"/>
      <c r="GG213" s="14"/>
      <c r="GH213" s="14"/>
      <c r="GI213" s="14"/>
      <c r="GJ213" s="14"/>
      <c r="GK213" s="14"/>
      <c r="GL213" s="14"/>
      <c r="GM213" s="14"/>
      <c r="GN213" s="14"/>
      <c r="GO213" s="14"/>
      <c r="GP213" s="14"/>
      <c r="GQ213" s="14"/>
      <c r="GR213" s="14"/>
      <c r="GS213" s="14"/>
      <c r="GT213" s="14"/>
      <c r="GU213" s="14"/>
      <c r="GV213" s="14"/>
      <c r="GW213" s="14"/>
      <c r="GX213" s="14"/>
      <c r="GY213" s="14"/>
      <c r="GZ213" s="14"/>
      <c r="HA213" s="14"/>
    </row>
    <row r="214" ht="18.0" customHeight="1">
      <c r="A214" s="1"/>
      <c r="B214" s="28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282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31"/>
      <c r="FA214" s="31"/>
      <c r="FB214" s="14"/>
      <c r="FC214" s="14"/>
      <c r="FD214" s="14"/>
      <c r="FE214" s="14"/>
      <c r="FF214" s="14"/>
      <c r="FG214" s="14"/>
      <c r="FH214" s="14"/>
      <c r="FI214" s="14"/>
      <c r="FJ214" s="14"/>
      <c r="FK214" s="14"/>
      <c r="FL214" s="14"/>
      <c r="FM214" s="14"/>
      <c r="FN214" s="14"/>
      <c r="FO214" s="14"/>
      <c r="FP214" s="14"/>
      <c r="FQ214" s="14"/>
      <c r="FR214" s="14"/>
      <c r="FS214" s="14"/>
      <c r="FT214" s="14"/>
      <c r="FU214" s="14"/>
      <c r="FV214" s="14"/>
      <c r="FW214" s="14"/>
      <c r="FX214" s="14"/>
      <c r="FY214" s="14"/>
      <c r="FZ214" s="14"/>
      <c r="GA214" s="14"/>
      <c r="GB214" s="31"/>
      <c r="GC214" s="14"/>
      <c r="GD214" s="14"/>
      <c r="GE214" s="14"/>
      <c r="GF214" s="14"/>
      <c r="GG214" s="14"/>
      <c r="GH214" s="14"/>
      <c r="GI214" s="14"/>
      <c r="GJ214" s="14"/>
      <c r="GK214" s="14"/>
      <c r="GL214" s="14"/>
      <c r="GM214" s="14"/>
      <c r="GN214" s="14"/>
      <c r="GO214" s="14"/>
      <c r="GP214" s="14"/>
      <c r="GQ214" s="14"/>
      <c r="GR214" s="14"/>
      <c r="GS214" s="14"/>
      <c r="GT214" s="14"/>
      <c r="GU214" s="14"/>
      <c r="GV214" s="14"/>
      <c r="GW214" s="14"/>
      <c r="GX214" s="14"/>
      <c r="GY214" s="14"/>
      <c r="GZ214" s="14"/>
      <c r="HA214" s="14"/>
    </row>
    <row r="215" ht="18.0" customHeight="1">
      <c r="A215" s="1"/>
      <c r="B215" s="283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287"/>
      <c r="R215" s="287"/>
      <c r="S215" s="94"/>
      <c r="T215" s="94"/>
      <c r="U215" s="94"/>
      <c r="V215" s="94"/>
      <c r="W215" s="287"/>
      <c r="X215" s="287"/>
      <c r="Y215" s="287"/>
      <c r="Z215" s="94"/>
      <c r="AA215" s="94"/>
      <c r="AB215" s="94"/>
      <c r="AC215" s="94"/>
      <c r="AD215" s="287"/>
      <c r="AE215" s="287"/>
      <c r="AF215" s="287"/>
      <c r="AG215" s="9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282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31"/>
      <c r="FA215" s="31"/>
      <c r="FB215" s="14"/>
      <c r="FC215" s="14"/>
      <c r="FD215" s="14"/>
      <c r="FE215" s="14"/>
      <c r="FF215" s="14"/>
      <c r="FG215" s="14"/>
      <c r="FH215" s="14"/>
      <c r="FI215" s="14"/>
      <c r="FJ215" s="14"/>
      <c r="FK215" s="14"/>
      <c r="FL215" s="14"/>
      <c r="FM215" s="14"/>
      <c r="FN215" s="14"/>
      <c r="FO215" s="14"/>
      <c r="FP215" s="14"/>
      <c r="FQ215" s="14"/>
      <c r="FR215" s="14"/>
      <c r="FS215" s="14"/>
      <c r="FT215" s="14"/>
      <c r="FU215" s="14"/>
      <c r="FV215" s="14"/>
      <c r="FW215" s="14"/>
      <c r="FX215" s="14"/>
      <c r="FY215" s="14"/>
      <c r="FZ215" s="14"/>
      <c r="GA215" s="14"/>
      <c r="GB215" s="31"/>
      <c r="GC215" s="14"/>
      <c r="GD215" s="14"/>
      <c r="GE215" s="14"/>
      <c r="GF215" s="14"/>
      <c r="GG215" s="14"/>
      <c r="GH215" s="14"/>
      <c r="GI215" s="14"/>
      <c r="GJ215" s="14"/>
      <c r="GK215" s="14"/>
      <c r="GL215" s="14"/>
      <c r="GM215" s="14"/>
      <c r="GN215" s="14"/>
      <c r="GO215" s="14"/>
      <c r="GP215" s="14"/>
      <c r="GQ215" s="14"/>
      <c r="GR215" s="14"/>
      <c r="GS215" s="14"/>
      <c r="GT215" s="14"/>
      <c r="GU215" s="14"/>
      <c r="GV215" s="14"/>
      <c r="GW215" s="14"/>
      <c r="GX215" s="14"/>
      <c r="GY215" s="14"/>
      <c r="GZ215" s="14"/>
      <c r="HA215" s="14"/>
    </row>
    <row r="216" ht="18.0" customHeight="1">
      <c r="A216" s="1"/>
      <c r="B216" s="28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282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4"/>
      <c r="EJ216" s="14"/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31"/>
      <c r="FA216" s="31"/>
      <c r="FB216" s="14"/>
      <c r="FC216" s="14"/>
      <c r="FD216" s="14"/>
      <c r="FE216" s="14"/>
      <c r="FF216" s="14"/>
      <c r="FG216" s="14"/>
      <c r="FH216" s="14"/>
      <c r="FI216" s="14"/>
      <c r="FJ216" s="14"/>
      <c r="FK216" s="14"/>
      <c r="FL216" s="14"/>
      <c r="FM216" s="14"/>
      <c r="FN216" s="14"/>
      <c r="FO216" s="14"/>
      <c r="FP216" s="14"/>
      <c r="FQ216" s="14"/>
      <c r="FR216" s="14"/>
      <c r="FS216" s="14"/>
      <c r="FT216" s="14"/>
      <c r="FU216" s="14"/>
      <c r="FV216" s="14"/>
      <c r="FW216" s="14"/>
      <c r="FX216" s="14"/>
      <c r="FY216" s="14"/>
      <c r="FZ216" s="14"/>
      <c r="GA216" s="14"/>
      <c r="GB216" s="31"/>
      <c r="GC216" s="14"/>
      <c r="GD216" s="14"/>
      <c r="GE216" s="14"/>
      <c r="GF216" s="14"/>
      <c r="GG216" s="14"/>
      <c r="GH216" s="14"/>
      <c r="GI216" s="14"/>
      <c r="GJ216" s="14"/>
      <c r="GK216" s="14"/>
      <c r="GL216" s="14"/>
      <c r="GM216" s="14"/>
      <c r="GN216" s="14"/>
      <c r="GO216" s="14"/>
      <c r="GP216" s="14"/>
      <c r="GQ216" s="14"/>
      <c r="GR216" s="14"/>
      <c r="GS216" s="14"/>
      <c r="GT216" s="14"/>
      <c r="GU216" s="14"/>
      <c r="GV216" s="14"/>
      <c r="GW216" s="14"/>
      <c r="GX216" s="14"/>
      <c r="GY216" s="14"/>
      <c r="GZ216" s="14"/>
      <c r="HA216" s="14"/>
    </row>
    <row r="217" ht="18.0" customHeight="1">
      <c r="A217" s="1"/>
      <c r="B217" s="283"/>
      <c r="C217" s="94"/>
      <c r="D217" s="94"/>
      <c r="E217" s="287"/>
      <c r="F217" s="94"/>
      <c r="G217" s="94"/>
      <c r="H217" s="287"/>
      <c r="I217" s="287"/>
      <c r="J217" s="287"/>
      <c r="K217" s="287"/>
      <c r="L217" s="287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287"/>
      <c r="X217" s="287"/>
      <c r="Y217" s="287"/>
      <c r="Z217" s="94"/>
      <c r="AA217" s="94"/>
      <c r="AB217" s="94"/>
      <c r="AC217" s="94"/>
      <c r="AD217" s="287"/>
      <c r="AE217" s="287"/>
      <c r="AF217" s="287"/>
      <c r="AG217" s="9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282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4"/>
      <c r="DO217" s="14"/>
      <c r="DP217" s="14"/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4"/>
      <c r="EJ217" s="14"/>
      <c r="EK217" s="14"/>
      <c r="EL217" s="14"/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31"/>
      <c r="FA217" s="31"/>
      <c r="FB217" s="14"/>
      <c r="FC217" s="14"/>
      <c r="FD217" s="14"/>
      <c r="FE217" s="14"/>
      <c r="FF217" s="14"/>
      <c r="FG217" s="14"/>
      <c r="FH217" s="14"/>
      <c r="FI217" s="14"/>
      <c r="FJ217" s="14"/>
      <c r="FK217" s="14"/>
      <c r="FL217" s="14"/>
      <c r="FM217" s="14"/>
      <c r="FN217" s="14"/>
      <c r="FO217" s="14"/>
      <c r="FP217" s="14"/>
      <c r="FQ217" s="14"/>
      <c r="FR217" s="14"/>
      <c r="FS217" s="14"/>
      <c r="FT217" s="14"/>
      <c r="FU217" s="14"/>
      <c r="FV217" s="14"/>
      <c r="FW217" s="14"/>
      <c r="FX217" s="14"/>
      <c r="FY217" s="14"/>
      <c r="FZ217" s="14"/>
      <c r="GA217" s="14"/>
      <c r="GB217" s="31"/>
      <c r="GC217" s="14"/>
      <c r="GD217" s="14"/>
      <c r="GE217" s="14"/>
      <c r="GF217" s="14"/>
      <c r="GG217" s="14"/>
      <c r="GH217" s="14"/>
      <c r="GI217" s="14"/>
      <c r="GJ217" s="14"/>
      <c r="GK217" s="14"/>
      <c r="GL217" s="14"/>
      <c r="GM217" s="14"/>
      <c r="GN217" s="14"/>
      <c r="GO217" s="14"/>
      <c r="GP217" s="14"/>
      <c r="GQ217" s="14"/>
      <c r="GR217" s="14"/>
      <c r="GS217" s="14"/>
      <c r="GT217" s="14"/>
      <c r="GU217" s="14"/>
      <c r="GV217" s="14"/>
      <c r="GW217" s="14"/>
      <c r="GX217" s="14"/>
      <c r="GY217" s="14"/>
      <c r="GZ217" s="14"/>
      <c r="HA217" s="14"/>
    </row>
    <row r="218" ht="18.0" customHeight="1">
      <c r="A218" s="1"/>
      <c r="B218" s="28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282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4"/>
      <c r="EJ218" s="14"/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31"/>
      <c r="FA218" s="31"/>
      <c r="FB218" s="14"/>
      <c r="FC218" s="14"/>
      <c r="FD218" s="14"/>
      <c r="FE218" s="14"/>
      <c r="FF218" s="14"/>
      <c r="FG218" s="14"/>
      <c r="FH218" s="14"/>
      <c r="FI218" s="14"/>
      <c r="FJ218" s="14"/>
      <c r="FK218" s="14"/>
      <c r="FL218" s="14"/>
      <c r="FM218" s="14"/>
      <c r="FN218" s="14"/>
      <c r="FO218" s="14"/>
      <c r="FP218" s="14"/>
      <c r="FQ218" s="14"/>
      <c r="FR218" s="14"/>
      <c r="FS218" s="14"/>
      <c r="FT218" s="14"/>
      <c r="FU218" s="14"/>
      <c r="FV218" s="14"/>
      <c r="FW218" s="14"/>
      <c r="FX218" s="14"/>
      <c r="FY218" s="14"/>
      <c r="FZ218" s="14"/>
      <c r="GA218" s="14"/>
      <c r="GB218" s="31"/>
      <c r="GC218" s="14"/>
      <c r="GD218" s="14"/>
      <c r="GE218" s="14"/>
      <c r="GF218" s="14"/>
      <c r="GG218" s="14"/>
      <c r="GH218" s="14"/>
      <c r="GI218" s="14"/>
      <c r="GJ218" s="14"/>
      <c r="GK218" s="14"/>
      <c r="GL218" s="14"/>
      <c r="GM218" s="14"/>
      <c r="GN218" s="14"/>
      <c r="GO218" s="14"/>
      <c r="GP218" s="14"/>
      <c r="GQ218" s="14"/>
      <c r="GR218" s="14"/>
      <c r="GS218" s="14"/>
      <c r="GT218" s="14"/>
      <c r="GU218" s="14"/>
      <c r="GV218" s="14"/>
      <c r="GW218" s="14"/>
      <c r="GX218" s="14"/>
      <c r="GY218" s="14"/>
      <c r="GZ218" s="14"/>
      <c r="HA218" s="14"/>
    </row>
    <row r="219" ht="18.0" customHeight="1">
      <c r="A219" s="1"/>
      <c r="B219" s="283"/>
      <c r="C219" s="287"/>
      <c r="D219" s="287"/>
      <c r="E219" s="287"/>
      <c r="F219" s="94"/>
      <c r="G219" s="94"/>
      <c r="H219" s="94"/>
      <c r="I219" s="287"/>
      <c r="J219" s="94"/>
      <c r="K219" s="94"/>
      <c r="L219" s="94"/>
      <c r="M219" s="94"/>
      <c r="N219" s="94"/>
      <c r="O219" s="94"/>
      <c r="P219" s="287"/>
      <c r="Q219" s="287"/>
      <c r="R219" s="287"/>
      <c r="S219" s="287"/>
      <c r="T219" s="94"/>
      <c r="U219" s="94"/>
      <c r="V219" s="94"/>
      <c r="W219" s="287"/>
      <c r="X219" s="287"/>
      <c r="Y219" s="287"/>
      <c r="Z219" s="94"/>
      <c r="AA219" s="94"/>
      <c r="AB219" s="94"/>
      <c r="AC219" s="94"/>
      <c r="AD219" s="287"/>
      <c r="AE219" s="287"/>
      <c r="AF219" s="287"/>
      <c r="AG219" s="9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282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4"/>
      <c r="DO219" s="14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4"/>
      <c r="EJ219" s="14"/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31"/>
      <c r="FA219" s="31"/>
      <c r="FB219" s="14"/>
      <c r="FC219" s="14"/>
      <c r="FD219" s="14"/>
      <c r="FE219" s="14"/>
      <c r="FF219" s="14"/>
      <c r="FG219" s="14"/>
      <c r="FH219" s="14"/>
      <c r="FI219" s="14"/>
      <c r="FJ219" s="14"/>
      <c r="FK219" s="14"/>
      <c r="FL219" s="14"/>
      <c r="FM219" s="14"/>
      <c r="FN219" s="14"/>
      <c r="FO219" s="14"/>
      <c r="FP219" s="14"/>
      <c r="FQ219" s="14"/>
      <c r="FR219" s="14"/>
      <c r="FS219" s="14"/>
      <c r="FT219" s="14"/>
      <c r="FU219" s="14"/>
      <c r="FV219" s="14"/>
      <c r="FW219" s="14"/>
      <c r="FX219" s="14"/>
      <c r="FY219" s="14"/>
      <c r="FZ219" s="14"/>
      <c r="GA219" s="14"/>
      <c r="GB219" s="31"/>
      <c r="GC219" s="14"/>
      <c r="GD219" s="14"/>
      <c r="GE219" s="14"/>
      <c r="GF219" s="14"/>
      <c r="GG219" s="14"/>
      <c r="GH219" s="14"/>
      <c r="GI219" s="14"/>
      <c r="GJ219" s="14"/>
      <c r="GK219" s="14"/>
      <c r="GL219" s="14"/>
      <c r="GM219" s="14"/>
      <c r="GN219" s="14"/>
      <c r="GO219" s="14"/>
      <c r="GP219" s="14"/>
      <c r="GQ219" s="14"/>
      <c r="GR219" s="14"/>
      <c r="GS219" s="14"/>
      <c r="GT219" s="14"/>
      <c r="GU219" s="14"/>
      <c r="GV219" s="14"/>
      <c r="GW219" s="14"/>
      <c r="GX219" s="14"/>
      <c r="GY219" s="14"/>
      <c r="GZ219" s="14"/>
      <c r="HA219" s="14"/>
    </row>
    <row r="220" ht="18.0" customHeight="1">
      <c r="A220" s="1"/>
      <c r="B220" s="28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282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4"/>
      <c r="EJ220" s="14"/>
      <c r="EK220" s="14"/>
      <c r="EL220" s="14"/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31"/>
      <c r="FA220" s="31"/>
      <c r="FB220" s="14"/>
      <c r="FC220" s="14"/>
      <c r="FD220" s="14"/>
      <c r="FE220" s="14"/>
      <c r="FF220" s="14"/>
      <c r="FG220" s="14"/>
      <c r="FH220" s="14"/>
      <c r="FI220" s="14"/>
      <c r="FJ220" s="14"/>
      <c r="FK220" s="14"/>
      <c r="FL220" s="14"/>
      <c r="FM220" s="14"/>
      <c r="FN220" s="14"/>
      <c r="FO220" s="14"/>
      <c r="FP220" s="14"/>
      <c r="FQ220" s="14"/>
      <c r="FR220" s="14"/>
      <c r="FS220" s="14"/>
      <c r="FT220" s="14"/>
      <c r="FU220" s="14"/>
      <c r="FV220" s="14"/>
      <c r="FW220" s="14"/>
      <c r="FX220" s="14"/>
      <c r="FY220" s="14"/>
      <c r="FZ220" s="14"/>
      <c r="GA220" s="14"/>
      <c r="GB220" s="31"/>
      <c r="GC220" s="14"/>
      <c r="GD220" s="14"/>
      <c r="GE220" s="14"/>
      <c r="GF220" s="14"/>
      <c r="GG220" s="14"/>
      <c r="GH220" s="14"/>
      <c r="GI220" s="14"/>
      <c r="GJ220" s="14"/>
      <c r="GK220" s="14"/>
      <c r="GL220" s="14"/>
      <c r="GM220" s="14"/>
      <c r="GN220" s="14"/>
      <c r="GO220" s="14"/>
      <c r="GP220" s="14"/>
      <c r="GQ220" s="14"/>
      <c r="GR220" s="14"/>
      <c r="GS220" s="14"/>
      <c r="GT220" s="14"/>
      <c r="GU220" s="14"/>
      <c r="GV220" s="14"/>
      <c r="GW220" s="14"/>
      <c r="GX220" s="14"/>
      <c r="GY220" s="14"/>
      <c r="GZ220" s="14"/>
      <c r="HA220" s="14"/>
    </row>
    <row r="221" ht="18.0" customHeight="1">
      <c r="A221" s="1"/>
      <c r="B221" s="283"/>
      <c r="C221" s="94"/>
      <c r="D221" s="94"/>
      <c r="E221" s="94"/>
      <c r="F221" s="94"/>
      <c r="G221" s="94"/>
      <c r="H221" s="296"/>
      <c r="I221" s="94"/>
      <c r="J221" s="94"/>
      <c r="K221" s="94"/>
      <c r="L221" s="94"/>
      <c r="M221" s="94"/>
      <c r="N221" s="94"/>
      <c r="O221" s="94"/>
      <c r="P221" s="287"/>
      <c r="Q221" s="287"/>
      <c r="R221" s="287"/>
      <c r="S221" s="287"/>
      <c r="T221" s="94"/>
      <c r="U221" s="94"/>
      <c r="V221" s="94"/>
      <c r="W221" s="287"/>
      <c r="X221" s="287"/>
      <c r="Y221" s="287"/>
      <c r="Z221" s="94"/>
      <c r="AA221" s="94"/>
      <c r="AB221" s="94"/>
      <c r="AC221" s="94"/>
      <c r="AD221" s="287"/>
      <c r="AE221" s="287"/>
      <c r="AF221" s="287"/>
      <c r="AG221" s="9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282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  <c r="DM221" s="14"/>
      <c r="DN221" s="14"/>
      <c r="DO221" s="14"/>
      <c r="DP221" s="14"/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4"/>
      <c r="EJ221" s="14"/>
      <c r="EK221" s="14"/>
      <c r="EL221" s="14"/>
      <c r="EM221" s="14"/>
      <c r="EN221" s="14"/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  <c r="EY221" s="14"/>
      <c r="EZ221" s="31"/>
      <c r="FA221" s="31"/>
      <c r="FB221" s="14"/>
      <c r="FC221" s="14"/>
      <c r="FD221" s="14"/>
      <c r="FE221" s="14"/>
      <c r="FF221" s="14"/>
      <c r="FG221" s="14"/>
      <c r="FH221" s="14"/>
      <c r="FI221" s="14"/>
      <c r="FJ221" s="14"/>
      <c r="FK221" s="14"/>
      <c r="FL221" s="14"/>
      <c r="FM221" s="14"/>
      <c r="FN221" s="14"/>
      <c r="FO221" s="14"/>
      <c r="FP221" s="14"/>
      <c r="FQ221" s="14"/>
      <c r="FR221" s="14"/>
      <c r="FS221" s="14"/>
      <c r="FT221" s="14"/>
      <c r="FU221" s="14"/>
      <c r="FV221" s="14"/>
      <c r="FW221" s="14"/>
      <c r="FX221" s="14"/>
      <c r="FY221" s="14"/>
      <c r="FZ221" s="14"/>
      <c r="GA221" s="14"/>
      <c r="GB221" s="31"/>
      <c r="GC221" s="14"/>
      <c r="GD221" s="14"/>
      <c r="GE221" s="14"/>
      <c r="GF221" s="14"/>
      <c r="GG221" s="14"/>
      <c r="GH221" s="14"/>
      <c r="GI221" s="14"/>
      <c r="GJ221" s="14"/>
      <c r="GK221" s="14"/>
      <c r="GL221" s="14"/>
      <c r="GM221" s="14"/>
      <c r="GN221" s="14"/>
      <c r="GO221" s="14"/>
      <c r="GP221" s="14"/>
      <c r="GQ221" s="14"/>
      <c r="GR221" s="14"/>
      <c r="GS221" s="14"/>
      <c r="GT221" s="14"/>
      <c r="GU221" s="14"/>
      <c r="GV221" s="14"/>
      <c r="GW221" s="14"/>
      <c r="GX221" s="14"/>
      <c r="GY221" s="14"/>
      <c r="GZ221" s="14"/>
      <c r="HA221" s="14"/>
    </row>
    <row r="222" ht="18.0" customHeight="1">
      <c r="A222" s="1"/>
      <c r="B222" s="284"/>
      <c r="C222" s="94"/>
      <c r="D222" s="94"/>
      <c r="E222" s="94"/>
      <c r="F222" s="94"/>
      <c r="G222" s="94"/>
      <c r="H222" s="296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282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4"/>
      <c r="EJ222" s="14"/>
      <c r="EK222" s="14"/>
      <c r="EL222" s="14"/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31"/>
      <c r="FA222" s="31"/>
      <c r="FB222" s="14"/>
      <c r="FC222" s="14"/>
      <c r="FD222" s="14"/>
      <c r="FE222" s="14"/>
      <c r="FF222" s="14"/>
      <c r="FG222" s="14"/>
      <c r="FH222" s="14"/>
      <c r="FI222" s="14"/>
      <c r="FJ222" s="14"/>
      <c r="FK222" s="14"/>
      <c r="FL222" s="14"/>
      <c r="FM222" s="14"/>
      <c r="FN222" s="14"/>
      <c r="FO222" s="14"/>
      <c r="FP222" s="14"/>
      <c r="FQ222" s="14"/>
      <c r="FR222" s="14"/>
      <c r="FS222" s="14"/>
      <c r="FT222" s="14"/>
      <c r="FU222" s="14"/>
      <c r="FV222" s="14"/>
      <c r="FW222" s="14"/>
      <c r="FX222" s="14"/>
      <c r="FY222" s="14"/>
      <c r="FZ222" s="14"/>
      <c r="GA222" s="14"/>
      <c r="GB222" s="31"/>
      <c r="GC222" s="14"/>
      <c r="GD222" s="14"/>
      <c r="GE222" s="14"/>
      <c r="GF222" s="14"/>
      <c r="GG222" s="14"/>
      <c r="GH222" s="14"/>
      <c r="GI222" s="14"/>
      <c r="GJ222" s="14"/>
      <c r="GK222" s="14"/>
      <c r="GL222" s="14"/>
      <c r="GM222" s="14"/>
      <c r="GN222" s="14"/>
      <c r="GO222" s="14"/>
      <c r="GP222" s="14"/>
      <c r="GQ222" s="14"/>
      <c r="GR222" s="14"/>
      <c r="GS222" s="14"/>
      <c r="GT222" s="14"/>
      <c r="GU222" s="14"/>
      <c r="GV222" s="14"/>
      <c r="GW222" s="14"/>
      <c r="GX222" s="14"/>
      <c r="GY222" s="14"/>
      <c r="GZ222" s="14"/>
      <c r="HA222" s="14"/>
    </row>
    <row r="223" ht="18.0" customHeight="1">
      <c r="A223" s="1"/>
      <c r="B223" s="283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287"/>
      <c r="X223" s="287"/>
      <c r="Y223" s="287"/>
      <c r="Z223" s="94"/>
      <c r="AA223" s="94"/>
      <c r="AB223" s="94"/>
      <c r="AC223" s="94"/>
      <c r="AD223" s="287"/>
      <c r="AE223" s="287"/>
      <c r="AF223" s="287"/>
      <c r="AG223" s="9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282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4"/>
      <c r="EJ223" s="14"/>
      <c r="EK223" s="14"/>
      <c r="EL223" s="14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31"/>
      <c r="FA223" s="31"/>
      <c r="FB223" s="14"/>
      <c r="FC223" s="14"/>
      <c r="FD223" s="14"/>
      <c r="FE223" s="14"/>
      <c r="FF223" s="14"/>
      <c r="FG223" s="14"/>
      <c r="FH223" s="14"/>
      <c r="FI223" s="14"/>
      <c r="FJ223" s="14"/>
      <c r="FK223" s="14"/>
      <c r="FL223" s="14"/>
      <c r="FM223" s="14"/>
      <c r="FN223" s="14"/>
      <c r="FO223" s="14"/>
      <c r="FP223" s="14"/>
      <c r="FQ223" s="14"/>
      <c r="FR223" s="14"/>
      <c r="FS223" s="14"/>
      <c r="FT223" s="14"/>
      <c r="FU223" s="14"/>
      <c r="FV223" s="14"/>
      <c r="FW223" s="14"/>
      <c r="FX223" s="14"/>
      <c r="FY223" s="14"/>
      <c r="FZ223" s="14"/>
      <c r="GA223" s="14"/>
      <c r="GB223" s="31"/>
      <c r="GC223" s="14"/>
      <c r="GD223" s="14"/>
      <c r="GE223" s="14"/>
      <c r="GF223" s="14"/>
      <c r="GG223" s="14"/>
      <c r="GH223" s="14"/>
      <c r="GI223" s="14"/>
      <c r="GJ223" s="14"/>
      <c r="GK223" s="14"/>
      <c r="GL223" s="14"/>
      <c r="GM223" s="14"/>
      <c r="GN223" s="14"/>
      <c r="GO223" s="14"/>
      <c r="GP223" s="14"/>
      <c r="GQ223" s="14"/>
      <c r="GR223" s="14"/>
      <c r="GS223" s="14"/>
      <c r="GT223" s="14"/>
      <c r="GU223" s="14"/>
      <c r="GV223" s="14"/>
      <c r="GW223" s="14"/>
      <c r="GX223" s="14"/>
      <c r="GY223" s="14"/>
      <c r="GZ223" s="14"/>
      <c r="HA223" s="14"/>
    </row>
    <row r="224" ht="18.0" customHeight="1">
      <c r="A224" s="1"/>
      <c r="B224" s="28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282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  <c r="DM224" s="14"/>
      <c r="DN224" s="14"/>
      <c r="DO224" s="14"/>
      <c r="DP224" s="14"/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4"/>
      <c r="EJ224" s="14"/>
      <c r="EK224" s="14"/>
      <c r="EL224" s="14"/>
      <c r="EM224" s="14"/>
      <c r="EN224" s="14"/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  <c r="EY224" s="14"/>
      <c r="EZ224" s="31"/>
      <c r="FA224" s="31"/>
      <c r="FB224" s="14"/>
      <c r="FC224" s="14"/>
      <c r="FD224" s="14"/>
      <c r="FE224" s="14"/>
      <c r="FF224" s="14"/>
      <c r="FG224" s="14"/>
      <c r="FH224" s="14"/>
      <c r="FI224" s="14"/>
      <c r="FJ224" s="14"/>
      <c r="FK224" s="14"/>
      <c r="FL224" s="14"/>
      <c r="FM224" s="14"/>
      <c r="FN224" s="14"/>
      <c r="FO224" s="14"/>
      <c r="FP224" s="14"/>
      <c r="FQ224" s="14"/>
      <c r="FR224" s="14"/>
      <c r="FS224" s="14"/>
      <c r="FT224" s="14"/>
      <c r="FU224" s="14"/>
      <c r="FV224" s="14"/>
      <c r="FW224" s="14"/>
      <c r="FX224" s="14"/>
      <c r="FY224" s="14"/>
      <c r="FZ224" s="14"/>
      <c r="GA224" s="14"/>
      <c r="GB224" s="31"/>
      <c r="GC224" s="14"/>
      <c r="GD224" s="14"/>
      <c r="GE224" s="14"/>
      <c r="GF224" s="14"/>
      <c r="GG224" s="14"/>
      <c r="GH224" s="14"/>
      <c r="GI224" s="14"/>
      <c r="GJ224" s="14"/>
      <c r="GK224" s="14"/>
      <c r="GL224" s="14"/>
      <c r="GM224" s="14"/>
      <c r="GN224" s="14"/>
      <c r="GO224" s="14"/>
      <c r="GP224" s="14"/>
      <c r="GQ224" s="14"/>
      <c r="GR224" s="14"/>
      <c r="GS224" s="14"/>
      <c r="GT224" s="14"/>
      <c r="GU224" s="14"/>
      <c r="GV224" s="14"/>
      <c r="GW224" s="14"/>
      <c r="GX224" s="14"/>
      <c r="GY224" s="14"/>
      <c r="GZ224" s="14"/>
      <c r="HA224" s="14"/>
    </row>
    <row r="225" ht="18.0" customHeight="1">
      <c r="A225" s="1"/>
      <c r="B225" s="283"/>
      <c r="C225" s="94"/>
      <c r="D225" s="94"/>
      <c r="E225" s="287"/>
      <c r="F225" s="94"/>
      <c r="G225" s="94"/>
      <c r="H225" s="94"/>
      <c r="I225" s="287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287"/>
      <c r="X225" s="287"/>
      <c r="Y225" s="287"/>
      <c r="Z225" s="94"/>
      <c r="AA225" s="94"/>
      <c r="AB225" s="94"/>
      <c r="AC225" s="94"/>
      <c r="AD225" s="287"/>
      <c r="AE225" s="287"/>
      <c r="AF225" s="287"/>
      <c r="AG225" s="9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282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4"/>
      <c r="EJ225" s="14"/>
      <c r="EK225" s="14"/>
      <c r="EL225" s="14"/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31"/>
      <c r="FA225" s="31"/>
      <c r="FB225" s="14"/>
      <c r="FC225" s="14"/>
      <c r="FD225" s="14"/>
      <c r="FE225" s="14"/>
      <c r="FF225" s="14"/>
      <c r="FG225" s="14"/>
      <c r="FH225" s="14"/>
      <c r="FI225" s="14"/>
      <c r="FJ225" s="14"/>
      <c r="FK225" s="14"/>
      <c r="FL225" s="14"/>
      <c r="FM225" s="14"/>
      <c r="FN225" s="14"/>
      <c r="FO225" s="14"/>
      <c r="FP225" s="14"/>
      <c r="FQ225" s="14"/>
      <c r="FR225" s="14"/>
      <c r="FS225" s="14"/>
      <c r="FT225" s="14"/>
      <c r="FU225" s="14"/>
      <c r="FV225" s="14"/>
      <c r="FW225" s="14"/>
      <c r="FX225" s="14"/>
      <c r="FY225" s="14"/>
      <c r="FZ225" s="14"/>
      <c r="GA225" s="14"/>
      <c r="GB225" s="31"/>
      <c r="GC225" s="14"/>
      <c r="GD225" s="14"/>
      <c r="GE225" s="14"/>
      <c r="GF225" s="14"/>
      <c r="GG225" s="14"/>
      <c r="GH225" s="14"/>
      <c r="GI225" s="14"/>
      <c r="GJ225" s="14"/>
      <c r="GK225" s="14"/>
      <c r="GL225" s="14"/>
      <c r="GM225" s="14"/>
      <c r="GN225" s="14"/>
      <c r="GO225" s="14"/>
      <c r="GP225" s="14"/>
      <c r="GQ225" s="14"/>
      <c r="GR225" s="14"/>
      <c r="GS225" s="14"/>
      <c r="GT225" s="14"/>
      <c r="GU225" s="14"/>
      <c r="GV225" s="14"/>
      <c r="GW225" s="14"/>
      <c r="GX225" s="14"/>
      <c r="GY225" s="14"/>
      <c r="GZ225" s="14"/>
      <c r="HA225" s="14"/>
    </row>
    <row r="226" ht="18.0" customHeight="1">
      <c r="A226" s="1"/>
      <c r="B226" s="28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282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  <c r="DM226" s="14"/>
      <c r="DN226" s="14"/>
      <c r="DO226" s="14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4"/>
      <c r="EJ226" s="14"/>
      <c r="EK226" s="14"/>
      <c r="EL226" s="14"/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31"/>
      <c r="FA226" s="31"/>
      <c r="FB226" s="14"/>
      <c r="FC226" s="14"/>
      <c r="FD226" s="14"/>
      <c r="FE226" s="14"/>
      <c r="FF226" s="14"/>
      <c r="FG226" s="14"/>
      <c r="FH226" s="14"/>
      <c r="FI226" s="14"/>
      <c r="FJ226" s="14"/>
      <c r="FK226" s="14"/>
      <c r="FL226" s="14"/>
      <c r="FM226" s="14"/>
      <c r="FN226" s="14"/>
      <c r="FO226" s="14"/>
      <c r="FP226" s="14"/>
      <c r="FQ226" s="14"/>
      <c r="FR226" s="14"/>
      <c r="FS226" s="14"/>
      <c r="FT226" s="14"/>
      <c r="FU226" s="14"/>
      <c r="FV226" s="14"/>
      <c r="FW226" s="14"/>
      <c r="FX226" s="14"/>
      <c r="FY226" s="14"/>
      <c r="FZ226" s="14"/>
      <c r="GA226" s="14"/>
      <c r="GB226" s="31"/>
      <c r="GC226" s="14"/>
      <c r="GD226" s="14"/>
      <c r="GE226" s="14"/>
      <c r="GF226" s="14"/>
      <c r="GG226" s="14"/>
      <c r="GH226" s="14"/>
      <c r="GI226" s="14"/>
      <c r="GJ226" s="14"/>
      <c r="GK226" s="14"/>
      <c r="GL226" s="14"/>
      <c r="GM226" s="14"/>
      <c r="GN226" s="14"/>
      <c r="GO226" s="14"/>
      <c r="GP226" s="14"/>
      <c r="GQ226" s="14"/>
      <c r="GR226" s="14"/>
      <c r="GS226" s="14"/>
      <c r="GT226" s="14"/>
      <c r="GU226" s="14"/>
      <c r="GV226" s="14"/>
      <c r="GW226" s="14"/>
      <c r="GX226" s="14"/>
      <c r="GY226" s="14"/>
      <c r="GZ226" s="14"/>
      <c r="HA226" s="14"/>
    </row>
    <row r="227" ht="18.0" customHeight="1">
      <c r="A227" s="1"/>
      <c r="B227" s="283"/>
      <c r="C227" s="94"/>
      <c r="D227" s="94"/>
      <c r="E227" s="94"/>
      <c r="F227" s="94"/>
      <c r="G227" s="94"/>
      <c r="H227" s="94"/>
      <c r="I227" s="287"/>
      <c r="J227" s="287"/>
      <c r="K227" s="287"/>
      <c r="L227" s="287"/>
      <c r="M227" s="94"/>
      <c r="N227" s="94"/>
      <c r="O227" s="94"/>
      <c r="P227" s="287"/>
      <c r="Q227" s="287"/>
      <c r="R227" s="287"/>
      <c r="S227" s="287"/>
      <c r="T227" s="94"/>
      <c r="U227" s="94"/>
      <c r="V227" s="94"/>
      <c r="W227" s="287"/>
      <c r="X227" s="287"/>
      <c r="Y227" s="287"/>
      <c r="Z227" s="94"/>
      <c r="AA227" s="94"/>
      <c r="AB227" s="94"/>
      <c r="AC227" s="94"/>
      <c r="AD227" s="287"/>
      <c r="AE227" s="287"/>
      <c r="AF227" s="287"/>
      <c r="AG227" s="9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282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  <c r="EM227" s="14"/>
      <c r="EN227" s="14"/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  <c r="EY227" s="14"/>
      <c r="EZ227" s="31"/>
      <c r="FA227" s="31"/>
      <c r="FB227" s="14"/>
      <c r="FC227" s="14"/>
      <c r="FD227" s="14"/>
      <c r="FE227" s="14"/>
      <c r="FF227" s="14"/>
      <c r="FG227" s="14"/>
      <c r="FH227" s="14"/>
      <c r="FI227" s="14"/>
      <c r="FJ227" s="14"/>
      <c r="FK227" s="14"/>
      <c r="FL227" s="14"/>
      <c r="FM227" s="14"/>
      <c r="FN227" s="14"/>
      <c r="FO227" s="14"/>
      <c r="FP227" s="14"/>
      <c r="FQ227" s="14"/>
      <c r="FR227" s="14"/>
      <c r="FS227" s="14"/>
      <c r="FT227" s="14"/>
      <c r="FU227" s="14"/>
      <c r="FV227" s="14"/>
      <c r="FW227" s="14"/>
      <c r="FX227" s="14"/>
      <c r="FY227" s="14"/>
      <c r="FZ227" s="14"/>
      <c r="GA227" s="14"/>
      <c r="GB227" s="31"/>
      <c r="GC227" s="14"/>
      <c r="GD227" s="14"/>
      <c r="GE227" s="14"/>
      <c r="GF227" s="14"/>
      <c r="GG227" s="14"/>
      <c r="GH227" s="14"/>
      <c r="GI227" s="14"/>
      <c r="GJ227" s="14"/>
      <c r="GK227" s="14"/>
      <c r="GL227" s="14"/>
      <c r="GM227" s="14"/>
      <c r="GN227" s="14"/>
      <c r="GO227" s="14"/>
      <c r="GP227" s="14"/>
      <c r="GQ227" s="14"/>
      <c r="GR227" s="14"/>
      <c r="GS227" s="14"/>
      <c r="GT227" s="14"/>
      <c r="GU227" s="14"/>
      <c r="GV227" s="14"/>
      <c r="GW227" s="14"/>
      <c r="GX227" s="14"/>
      <c r="GY227" s="14"/>
      <c r="GZ227" s="14"/>
      <c r="HA227" s="14"/>
    </row>
    <row r="228" ht="18.0" customHeight="1">
      <c r="A228" s="1"/>
      <c r="B228" s="28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282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31"/>
      <c r="FA228" s="31"/>
      <c r="FB228" s="14"/>
      <c r="FC228" s="14"/>
      <c r="FD228" s="14"/>
      <c r="FE228" s="14"/>
      <c r="FF228" s="14"/>
      <c r="FG228" s="14"/>
      <c r="FH228" s="14"/>
      <c r="FI228" s="14"/>
      <c r="FJ228" s="14"/>
      <c r="FK228" s="14"/>
      <c r="FL228" s="14"/>
      <c r="FM228" s="14"/>
      <c r="FN228" s="14"/>
      <c r="FO228" s="14"/>
      <c r="FP228" s="14"/>
      <c r="FQ228" s="14"/>
      <c r="FR228" s="14"/>
      <c r="FS228" s="14"/>
      <c r="FT228" s="14"/>
      <c r="FU228" s="14"/>
      <c r="FV228" s="14"/>
      <c r="FW228" s="14"/>
      <c r="FX228" s="14"/>
      <c r="FY228" s="14"/>
      <c r="FZ228" s="14"/>
      <c r="GA228" s="14"/>
      <c r="GB228" s="31"/>
      <c r="GC228" s="14"/>
      <c r="GD228" s="14"/>
      <c r="GE228" s="14"/>
      <c r="GF228" s="14"/>
      <c r="GG228" s="14"/>
      <c r="GH228" s="14"/>
      <c r="GI228" s="14"/>
      <c r="GJ228" s="14"/>
      <c r="GK228" s="14"/>
      <c r="GL228" s="14"/>
      <c r="GM228" s="14"/>
      <c r="GN228" s="14"/>
      <c r="GO228" s="14"/>
      <c r="GP228" s="14"/>
      <c r="GQ228" s="14"/>
      <c r="GR228" s="14"/>
      <c r="GS228" s="14"/>
      <c r="GT228" s="14"/>
      <c r="GU228" s="14"/>
      <c r="GV228" s="14"/>
      <c r="GW228" s="14"/>
      <c r="GX228" s="14"/>
      <c r="GY228" s="14"/>
      <c r="GZ228" s="14"/>
      <c r="HA228" s="14"/>
    </row>
    <row r="229" ht="18.0" customHeight="1">
      <c r="A229" s="1"/>
      <c r="B229" s="9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282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  <c r="DM229" s="14"/>
      <c r="DN229" s="14"/>
      <c r="DO229" s="14"/>
      <c r="DP229" s="14"/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4"/>
      <c r="EJ229" s="14"/>
      <c r="EK229" s="14"/>
      <c r="EL229" s="14"/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31"/>
      <c r="FA229" s="31"/>
      <c r="FB229" s="14"/>
      <c r="FC229" s="14"/>
      <c r="FD229" s="14"/>
      <c r="FE229" s="14"/>
      <c r="FF229" s="14"/>
      <c r="FG229" s="14"/>
      <c r="FH229" s="14"/>
      <c r="FI229" s="14"/>
      <c r="FJ229" s="14"/>
      <c r="FK229" s="14"/>
      <c r="FL229" s="14"/>
      <c r="FM229" s="14"/>
      <c r="FN229" s="14"/>
      <c r="FO229" s="14"/>
      <c r="FP229" s="14"/>
      <c r="FQ229" s="14"/>
      <c r="FR229" s="14"/>
      <c r="FS229" s="14"/>
      <c r="FT229" s="14"/>
      <c r="FU229" s="14"/>
      <c r="FV229" s="14"/>
      <c r="FW229" s="14"/>
      <c r="FX229" s="14"/>
      <c r="FY229" s="14"/>
      <c r="FZ229" s="14"/>
      <c r="GA229" s="14"/>
      <c r="GB229" s="31"/>
      <c r="GC229" s="14"/>
      <c r="GD229" s="14"/>
      <c r="GE229" s="14"/>
      <c r="GF229" s="14"/>
      <c r="GG229" s="14"/>
      <c r="GH229" s="14"/>
      <c r="GI229" s="14"/>
      <c r="GJ229" s="14"/>
      <c r="GK229" s="14"/>
      <c r="GL229" s="14"/>
      <c r="GM229" s="14"/>
      <c r="GN229" s="14"/>
      <c r="GO229" s="14"/>
      <c r="GP229" s="14"/>
      <c r="GQ229" s="14"/>
      <c r="GR229" s="14"/>
      <c r="GS229" s="14"/>
      <c r="GT229" s="14"/>
      <c r="GU229" s="14"/>
      <c r="GV229" s="14"/>
      <c r="GW229" s="14"/>
      <c r="GX229" s="14"/>
      <c r="GY229" s="14"/>
      <c r="GZ229" s="14"/>
      <c r="HA229" s="14"/>
    </row>
    <row r="230" ht="18.0" customHeight="1">
      <c r="A230" s="1"/>
      <c r="B230" s="283"/>
      <c r="C230" s="244"/>
      <c r="D230" s="244"/>
      <c r="E230" s="244"/>
      <c r="F230" s="244"/>
      <c r="G230" s="244"/>
      <c r="H230" s="244"/>
      <c r="I230" s="244"/>
      <c r="J230" s="244"/>
      <c r="K230" s="244"/>
      <c r="L230" s="244"/>
      <c r="M230" s="244"/>
      <c r="N230" s="244"/>
      <c r="O230" s="244"/>
      <c r="P230" s="244"/>
      <c r="Q230" s="244"/>
      <c r="R230" s="244"/>
      <c r="S230" s="244"/>
      <c r="T230" s="244"/>
      <c r="U230" s="244"/>
      <c r="V230" s="244"/>
      <c r="W230" s="244"/>
      <c r="X230" s="244"/>
      <c r="Y230" s="244"/>
      <c r="Z230" s="244"/>
      <c r="AA230" s="244"/>
      <c r="AB230" s="244"/>
      <c r="AC230" s="244"/>
      <c r="AD230" s="244"/>
      <c r="AE230" s="244"/>
      <c r="AF230" s="244"/>
      <c r="AG230" s="24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282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31"/>
      <c r="FA230" s="31"/>
      <c r="FB230" s="14"/>
      <c r="FC230" s="14"/>
      <c r="FD230" s="14"/>
      <c r="FE230" s="14"/>
      <c r="FF230" s="14"/>
      <c r="FG230" s="14"/>
      <c r="FH230" s="14"/>
      <c r="FI230" s="14"/>
      <c r="FJ230" s="14"/>
      <c r="FK230" s="14"/>
      <c r="FL230" s="14"/>
      <c r="FM230" s="14"/>
      <c r="FN230" s="14"/>
      <c r="FO230" s="14"/>
      <c r="FP230" s="14"/>
      <c r="FQ230" s="14"/>
      <c r="FR230" s="14"/>
      <c r="FS230" s="14"/>
      <c r="FT230" s="14"/>
      <c r="FU230" s="14"/>
      <c r="FV230" s="14"/>
      <c r="FW230" s="14"/>
      <c r="FX230" s="14"/>
      <c r="FY230" s="14"/>
      <c r="FZ230" s="14"/>
      <c r="GA230" s="14"/>
      <c r="GB230" s="31"/>
      <c r="GC230" s="14"/>
      <c r="GD230" s="14"/>
      <c r="GE230" s="14"/>
      <c r="GF230" s="14"/>
      <c r="GG230" s="14"/>
      <c r="GH230" s="14"/>
      <c r="GI230" s="14"/>
      <c r="GJ230" s="14"/>
      <c r="GK230" s="14"/>
      <c r="GL230" s="14"/>
      <c r="GM230" s="14"/>
      <c r="GN230" s="14"/>
      <c r="GO230" s="14"/>
      <c r="GP230" s="14"/>
      <c r="GQ230" s="14"/>
      <c r="GR230" s="14"/>
      <c r="GS230" s="14"/>
      <c r="GT230" s="14"/>
      <c r="GU230" s="14"/>
      <c r="GV230" s="14"/>
      <c r="GW230" s="14"/>
      <c r="GX230" s="14"/>
      <c r="GY230" s="14"/>
      <c r="GZ230" s="14"/>
      <c r="HA230" s="14"/>
    </row>
    <row r="231" ht="18.0" customHeight="1">
      <c r="A231" s="1"/>
      <c r="B231" s="283"/>
      <c r="C231" s="244"/>
      <c r="D231" s="244"/>
      <c r="E231" s="244"/>
      <c r="F231" s="244"/>
      <c r="G231" s="244"/>
      <c r="H231" s="244"/>
      <c r="I231" s="244"/>
      <c r="J231" s="244"/>
      <c r="K231" s="244"/>
      <c r="L231" s="244"/>
      <c r="M231" s="244"/>
      <c r="N231" s="244"/>
      <c r="O231" s="244"/>
      <c r="P231" s="244"/>
      <c r="Q231" s="244"/>
      <c r="R231" s="244"/>
      <c r="S231" s="244"/>
      <c r="T231" s="244"/>
      <c r="U231" s="244"/>
      <c r="V231" s="244"/>
      <c r="W231" s="244"/>
      <c r="X231" s="244"/>
      <c r="Y231" s="244"/>
      <c r="Z231" s="244"/>
      <c r="AA231" s="244"/>
      <c r="AB231" s="244"/>
      <c r="AC231" s="244"/>
      <c r="AD231" s="244"/>
      <c r="AE231" s="244"/>
      <c r="AF231" s="244"/>
      <c r="AG231" s="24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282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31"/>
      <c r="FA231" s="31"/>
      <c r="FB231" s="14"/>
      <c r="FC231" s="14"/>
      <c r="FD231" s="14"/>
      <c r="FE231" s="14"/>
      <c r="FF231" s="14"/>
      <c r="FG231" s="14"/>
      <c r="FH231" s="14"/>
      <c r="FI231" s="14"/>
      <c r="FJ231" s="14"/>
      <c r="FK231" s="14"/>
      <c r="FL231" s="14"/>
      <c r="FM231" s="14"/>
      <c r="FN231" s="14"/>
      <c r="FO231" s="14"/>
      <c r="FP231" s="14"/>
      <c r="FQ231" s="14"/>
      <c r="FR231" s="14"/>
      <c r="FS231" s="14"/>
      <c r="FT231" s="14"/>
      <c r="FU231" s="14"/>
      <c r="FV231" s="14"/>
      <c r="FW231" s="14"/>
      <c r="FX231" s="14"/>
      <c r="FY231" s="14"/>
      <c r="FZ231" s="14"/>
      <c r="GA231" s="14"/>
      <c r="GB231" s="31"/>
      <c r="GC231" s="14"/>
      <c r="GD231" s="14"/>
      <c r="GE231" s="14"/>
      <c r="GF231" s="14"/>
      <c r="GG231" s="14"/>
      <c r="GH231" s="14"/>
      <c r="GI231" s="14"/>
      <c r="GJ231" s="14"/>
      <c r="GK231" s="14"/>
      <c r="GL231" s="14"/>
      <c r="GM231" s="14"/>
      <c r="GN231" s="14"/>
      <c r="GO231" s="14"/>
      <c r="GP231" s="14"/>
      <c r="GQ231" s="14"/>
      <c r="GR231" s="14"/>
      <c r="GS231" s="14"/>
      <c r="GT231" s="14"/>
      <c r="GU231" s="14"/>
      <c r="GV231" s="14"/>
      <c r="GW231" s="14"/>
      <c r="GX231" s="14"/>
      <c r="GY231" s="14"/>
      <c r="GZ231" s="14"/>
      <c r="HA231" s="14"/>
    </row>
    <row r="232" ht="18.0" customHeight="1">
      <c r="A232" s="1"/>
      <c r="B232" s="283"/>
      <c r="C232" s="94"/>
      <c r="D232" s="94"/>
      <c r="E232" s="94"/>
      <c r="F232" s="287"/>
      <c r="G232" s="287"/>
      <c r="H232" s="94"/>
      <c r="I232" s="287"/>
      <c r="J232" s="94"/>
      <c r="K232" s="94"/>
      <c r="L232" s="94"/>
      <c r="M232" s="295"/>
      <c r="N232" s="295"/>
      <c r="O232" s="295"/>
      <c r="P232" s="295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282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4"/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31"/>
      <c r="FA232" s="31"/>
      <c r="FB232" s="14"/>
      <c r="FC232" s="14"/>
      <c r="FD232" s="14"/>
      <c r="FE232" s="14"/>
      <c r="FF232" s="14"/>
      <c r="FG232" s="14"/>
      <c r="FH232" s="14"/>
      <c r="FI232" s="14"/>
      <c r="FJ232" s="14"/>
      <c r="FK232" s="14"/>
      <c r="FL232" s="14"/>
      <c r="FM232" s="14"/>
      <c r="FN232" s="14"/>
      <c r="FO232" s="14"/>
      <c r="FP232" s="14"/>
      <c r="FQ232" s="14"/>
      <c r="FR232" s="14"/>
      <c r="FS232" s="14"/>
      <c r="FT232" s="14"/>
      <c r="FU232" s="14"/>
      <c r="FV232" s="14"/>
      <c r="FW232" s="14"/>
      <c r="FX232" s="14"/>
      <c r="FY232" s="14"/>
      <c r="FZ232" s="14"/>
      <c r="GA232" s="14"/>
      <c r="GB232" s="31"/>
      <c r="GC232" s="14"/>
      <c r="GD232" s="14"/>
      <c r="GE232" s="14"/>
      <c r="GF232" s="14"/>
      <c r="GG232" s="14"/>
      <c r="GH232" s="14"/>
      <c r="GI232" s="14"/>
      <c r="GJ232" s="14"/>
      <c r="GK232" s="14"/>
      <c r="GL232" s="14"/>
      <c r="GM232" s="14"/>
      <c r="GN232" s="14"/>
      <c r="GO232" s="14"/>
      <c r="GP232" s="14"/>
      <c r="GQ232" s="14"/>
      <c r="GR232" s="14"/>
      <c r="GS232" s="14"/>
      <c r="GT232" s="14"/>
      <c r="GU232" s="14"/>
      <c r="GV232" s="14"/>
      <c r="GW232" s="14"/>
      <c r="GX232" s="14"/>
      <c r="GY232" s="14"/>
      <c r="GZ232" s="14"/>
      <c r="HA232" s="14"/>
    </row>
    <row r="233" ht="18.0" customHeight="1">
      <c r="A233" s="1"/>
      <c r="B233" s="28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295"/>
      <c r="N233" s="295"/>
      <c r="O233" s="295"/>
      <c r="P233" s="295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282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4"/>
      <c r="DJ233" s="14"/>
      <c r="DK233" s="14"/>
      <c r="DL233" s="14"/>
      <c r="DM233" s="14"/>
      <c r="DN233" s="14"/>
      <c r="DO233" s="14"/>
      <c r="DP233" s="14"/>
      <c r="DQ233" s="14"/>
      <c r="DR233" s="14"/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4"/>
      <c r="EJ233" s="14"/>
      <c r="EK233" s="14"/>
      <c r="EL233" s="14"/>
      <c r="EM233" s="14"/>
      <c r="EN233" s="14"/>
      <c r="EO233" s="14"/>
      <c r="EP233" s="14"/>
      <c r="EQ233" s="14"/>
      <c r="ER233" s="14"/>
      <c r="ES233" s="14"/>
      <c r="ET233" s="14"/>
      <c r="EU233" s="14"/>
      <c r="EV233" s="14"/>
      <c r="EW233" s="14"/>
      <c r="EX233" s="14"/>
      <c r="EY233" s="14"/>
      <c r="EZ233" s="31"/>
      <c r="FA233" s="31"/>
      <c r="FB233" s="14"/>
      <c r="FC233" s="14"/>
      <c r="FD233" s="14"/>
      <c r="FE233" s="14"/>
      <c r="FF233" s="14"/>
      <c r="FG233" s="14"/>
      <c r="FH233" s="14"/>
      <c r="FI233" s="14"/>
      <c r="FJ233" s="14"/>
      <c r="FK233" s="14"/>
      <c r="FL233" s="14"/>
      <c r="FM233" s="14"/>
      <c r="FN233" s="14"/>
      <c r="FO233" s="14"/>
      <c r="FP233" s="14"/>
      <c r="FQ233" s="14"/>
      <c r="FR233" s="14"/>
      <c r="FS233" s="14"/>
      <c r="FT233" s="14"/>
      <c r="FU233" s="14"/>
      <c r="FV233" s="14"/>
      <c r="FW233" s="14"/>
      <c r="FX233" s="14"/>
      <c r="FY233" s="14"/>
      <c r="FZ233" s="14"/>
      <c r="GA233" s="14"/>
      <c r="GB233" s="31"/>
      <c r="GC233" s="14"/>
      <c r="GD233" s="14"/>
      <c r="GE233" s="14"/>
      <c r="GF233" s="14"/>
      <c r="GG233" s="14"/>
      <c r="GH233" s="14"/>
      <c r="GI233" s="14"/>
      <c r="GJ233" s="14"/>
      <c r="GK233" s="14"/>
      <c r="GL233" s="14"/>
      <c r="GM233" s="14"/>
      <c r="GN233" s="14"/>
      <c r="GO233" s="14"/>
      <c r="GP233" s="14"/>
      <c r="GQ233" s="14"/>
      <c r="GR233" s="14"/>
      <c r="GS233" s="14"/>
      <c r="GT233" s="14"/>
      <c r="GU233" s="14"/>
      <c r="GV233" s="14"/>
      <c r="GW233" s="14"/>
      <c r="GX233" s="14"/>
      <c r="GY233" s="14"/>
      <c r="GZ233" s="14"/>
      <c r="HA233" s="14"/>
    </row>
    <row r="234" ht="18.0" customHeight="1">
      <c r="A234" s="1"/>
      <c r="B234" s="283"/>
      <c r="C234" s="94"/>
      <c r="D234" s="94"/>
      <c r="E234" s="94"/>
      <c r="F234" s="287"/>
      <c r="G234" s="287"/>
      <c r="H234" s="94"/>
      <c r="I234" s="287"/>
      <c r="J234" s="94"/>
      <c r="K234" s="94"/>
      <c r="L234" s="94"/>
      <c r="M234" s="295"/>
      <c r="N234" s="295"/>
      <c r="O234" s="295"/>
      <c r="P234" s="295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282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4"/>
      <c r="DJ234" s="14"/>
      <c r="DK234" s="14"/>
      <c r="DL234" s="14"/>
      <c r="DM234" s="14"/>
      <c r="DN234" s="14"/>
      <c r="DO234" s="14"/>
      <c r="DP234" s="14"/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4"/>
      <c r="EJ234" s="14"/>
      <c r="EK234" s="14"/>
      <c r="EL234" s="14"/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31"/>
      <c r="FA234" s="31"/>
      <c r="FB234" s="14"/>
      <c r="FC234" s="14"/>
      <c r="FD234" s="14"/>
      <c r="FE234" s="14"/>
      <c r="FF234" s="14"/>
      <c r="FG234" s="14"/>
      <c r="FH234" s="14"/>
      <c r="FI234" s="14"/>
      <c r="FJ234" s="14"/>
      <c r="FK234" s="14"/>
      <c r="FL234" s="14"/>
      <c r="FM234" s="14"/>
      <c r="FN234" s="14"/>
      <c r="FO234" s="14"/>
      <c r="FP234" s="14"/>
      <c r="FQ234" s="14"/>
      <c r="FR234" s="14"/>
      <c r="FS234" s="14"/>
      <c r="FT234" s="14"/>
      <c r="FU234" s="14"/>
      <c r="FV234" s="14"/>
      <c r="FW234" s="14"/>
      <c r="FX234" s="14"/>
      <c r="FY234" s="14"/>
      <c r="FZ234" s="14"/>
      <c r="GA234" s="14"/>
      <c r="GB234" s="31"/>
      <c r="GC234" s="14"/>
      <c r="GD234" s="14"/>
      <c r="GE234" s="14"/>
      <c r="GF234" s="14"/>
      <c r="GG234" s="14"/>
      <c r="GH234" s="14"/>
      <c r="GI234" s="14"/>
      <c r="GJ234" s="14"/>
      <c r="GK234" s="14"/>
      <c r="GL234" s="14"/>
      <c r="GM234" s="14"/>
      <c r="GN234" s="14"/>
      <c r="GO234" s="14"/>
      <c r="GP234" s="14"/>
      <c r="GQ234" s="14"/>
      <c r="GR234" s="14"/>
      <c r="GS234" s="14"/>
      <c r="GT234" s="14"/>
      <c r="GU234" s="14"/>
      <c r="GV234" s="14"/>
      <c r="GW234" s="14"/>
      <c r="GX234" s="14"/>
      <c r="GY234" s="14"/>
      <c r="GZ234" s="14"/>
      <c r="HA234" s="14"/>
    </row>
    <row r="235" ht="18.0" customHeight="1">
      <c r="A235" s="1"/>
      <c r="B235" s="28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295"/>
      <c r="N235" s="295"/>
      <c r="O235" s="295"/>
      <c r="P235" s="295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282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4"/>
      <c r="EJ235" s="14"/>
      <c r="EK235" s="14"/>
      <c r="EL235" s="14"/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31"/>
      <c r="FA235" s="31"/>
      <c r="FB235" s="14"/>
      <c r="FC235" s="14"/>
      <c r="FD235" s="14"/>
      <c r="FE235" s="14"/>
      <c r="FF235" s="14"/>
      <c r="FG235" s="14"/>
      <c r="FH235" s="14"/>
      <c r="FI235" s="14"/>
      <c r="FJ235" s="14"/>
      <c r="FK235" s="14"/>
      <c r="FL235" s="14"/>
      <c r="FM235" s="14"/>
      <c r="FN235" s="14"/>
      <c r="FO235" s="14"/>
      <c r="FP235" s="14"/>
      <c r="FQ235" s="14"/>
      <c r="FR235" s="14"/>
      <c r="FS235" s="14"/>
      <c r="FT235" s="14"/>
      <c r="FU235" s="14"/>
      <c r="FV235" s="14"/>
      <c r="FW235" s="14"/>
      <c r="FX235" s="14"/>
      <c r="FY235" s="14"/>
      <c r="FZ235" s="14"/>
      <c r="GA235" s="14"/>
      <c r="GB235" s="31"/>
      <c r="GC235" s="14"/>
      <c r="GD235" s="14"/>
      <c r="GE235" s="14"/>
      <c r="GF235" s="14"/>
      <c r="GG235" s="14"/>
      <c r="GH235" s="14"/>
      <c r="GI235" s="14"/>
      <c r="GJ235" s="14"/>
      <c r="GK235" s="14"/>
      <c r="GL235" s="14"/>
      <c r="GM235" s="14"/>
      <c r="GN235" s="14"/>
      <c r="GO235" s="14"/>
      <c r="GP235" s="14"/>
      <c r="GQ235" s="14"/>
      <c r="GR235" s="14"/>
      <c r="GS235" s="14"/>
      <c r="GT235" s="14"/>
      <c r="GU235" s="14"/>
      <c r="GV235" s="14"/>
      <c r="GW235" s="14"/>
      <c r="GX235" s="14"/>
      <c r="GY235" s="14"/>
      <c r="GZ235" s="14"/>
      <c r="HA235" s="14"/>
    </row>
    <row r="236" ht="18.0" customHeight="1">
      <c r="A236" s="1"/>
      <c r="B236" s="283"/>
      <c r="C236" s="94"/>
      <c r="D236" s="94"/>
      <c r="E236" s="94"/>
      <c r="F236" s="287"/>
      <c r="G236" s="287"/>
      <c r="H236" s="94"/>
      <c r="I236" s="287"/>
      <c r="J236" s="94"/>
      <c r="K236" s="94"/>
      <c r="L236" s="94"/>
      <c r="M236" s="295"/>
      <c r="N236" s="295"/>
      <c r="O236" s="94"/>
      <c r="P236" s="295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282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  <c r="DM236" s="14"/>
      <c r="DN236" s="14"/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4"/>
      <c r="EJ236" s="14"/>
      <c r="EK236" s="14"/>
      <c r="EL236" s="14"/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31"/>
      <c r="FA236" s="31"/>
      <c r="FB236" s="14"/>
      <c r="FC236" s="14"/>
      <c r="FD236" s="14"/>
      <c r="FE236" s="14"/>
      <c r="FF236" s="14"/>
      <c r="FG236" s="14"/>
      <c r="FH236" s="14"/>
      <c r="FI236" s="14"/>
      <c r="FJ236" s="14"/>
      <c r="FK236" s="14"/>
      <c r="FL236" s="14"/>
      <c r="FM236" s="14"/>
      <c r="FN236" s="14"/>
      <c r="FO236" s="14"/>
      <c r="FP236" s="14"/>
      <c r="FQ236" s="14"/>
      <c r="FR236" s="14"/>
      <c r="FS236" s="14"/>
      <c r="FT236" s="14"/>
      <c r="FU236" s="14"/>
      <c r="FV236" s="14"/>
      <c r="FW236" s="14"/>
      <c r="FX236" s="14"/>
      <c r="FY236" s="14"/>
      <c r="FZ236" s="14"/>
      <c r="GA236" s="14"/>
      <c r="GB236" s="31"/>
      <c r="GC236" s="14"/>
      <c r="GD236" s="14"/>
      <c r="GE236" s="14"/>
      <c r="GF236" s="14"/>
      <c r="GG236" s="14"/>
      <c r="GH236" s="14"/>
      <c r="GI236" s="14"/>
      <c r="GJ236" s="14"/>
      <c r="GK236" s="14"/>
      <c r="GL236" s="14"/>
      <c r="GM236" s="14"/>
      <c r="GN236" s="14"/>
      <c r="GO236" s="14"/>
      <c r="GP236" s="14"/>
      <c r="GQ236" s="14"/>
      <c r="GR236" s="14"/>
      <c r="GS236" s="14"/>
      <c r="GT236" s="14"/>
      <c r="GU236" s="14"/>
      <c r="GV236" s="14"/>
      <c r="GW236" s="14"/>
      <c r="GX236" s="14"/>
      <c r="GY236" s="14"/>
      <c r="GZ236" s="14"/>
      <c r="HA236" s="14"/>
    </row>
    <row r="237" ht="18.0" customHeight="1">
      <c r="A237" s="1"/>
      <c r="B237" s="28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295"/>
      <c r="N237" s="295"/>
      <c r="O237" s="94"/>
      <c r="P237" s="295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282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4"/>
      <c r="EJ237" s="14"/>
      <c r="EK237" s="14"/>
      <c r="EL237" s="14"/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31"/>
      <c r="FA237" s="31"/>
      <c r="FB237" s="14"/>
      <c r="FC237" s="14"/>
      <c r="FD237" s="14"/>
      <c r="FE237" s="14"/>
      <c r="FF237" s="14"/>
      <c r="FG237" s="14"/>
      <c r="FH237" s="14"/>
      <c r="FI237" s="14"/>
      <c r="FJ237" s="14"/>
      <c r="FK237" s="14"/>
      <c r="FL237" s="14"/>
      <c r="FM237" s="14"/>
      <c r="FN237" s="14"/>
      <c r="FO237" s="14"/>
      <c r="FP237" s="14"/>
      <c r="FQ237" s="14"/>
      <c r="FR237" s="14"/>
      <c r="FS237" s="14"/>
      <c r="FT237" s="14"/>
      <c r="FU237" s="14"/>
      <c r="FV237" s="14"/>
      <c r="FW237" s="14"/>
      <c r="FX237" s="14"/>
      <c r="FY237" s="14"/>
      <c r="FZ237" s="14"/>
      <c r="GA237" s="14"/>
      <c r="GB237" s="31"/>
      <c r="GC237" s="14"/>
      <c r="GD237" s="14"/>
      <c r="GE237" s="14"/>
      <c r="GF237" s="14"/>
      <c r="GG237" s="14"/>
      <c r="GH237" s="14"/>
      <c r="GI237" s="14"/>
      <c r="GJ237" s="14"/>
      <c r="GK237" s="14"/>
      <c r="GL237" s="14"/>
      <c r="GM237" s="14"/>
      <c r="GN237" s="14"/>
      <c r="GO237" s="14"/>
      <c r="GP237" s="14"/>
      <c r="GQ237" s="14"/>
      <c r="GR237" s="14"/>
      <c r="GS237" s="14"/>
      <c r="GT237" s="14"/>
      <c r="GU237" s="14"/>
      <c r="GV237" s="14"/>
      <c r="GW237" s="14"/>
      <c r="GX237" s="14"/>
      <c r="GY237" s="14"/>
      <c r="GZ237" s="14"/>
      <c r="HA237" s="14"/>
    </row>
    <row r="238" ht="18.0" customHeight="1">
      <c r="A238" s="1"/>
      <c r="B238" s="283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295"/>
      <c r="N238" s="295"/>
      <c r="O238" s="295"/>
      <c r="P238" s="295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282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4"/>
      <c r="EJ238" s="14"/>
      <c r="EK238" s="14"/>
      <c r="EL238" s="14"/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31"/>
      <c r="FA238" s="31"/>
      <c r="FB238" s="14"/>
      <c r="FC238" s="14"/>
      <c r="FD238" s="14"/>
      <c r="FE238" s="14"/>
      <c r="FF238" s="14"/>
      <c r="FG238" s="14"/>
      <c r="FH238" s="14"/>
      <c r="FI238" s="14"/>
      <c r="FJ238" s="14"/>
      <c r="FK238" s="14"/>
      <c r="FL238" s="14"/>
      <c r="FM238" s="14"/>
      <c r="FN238" s="14"/>
      <c r="FO238" s="14"/>
      <c r="FP238" s="14"/>
      <c r="FQ238" s="14"/>
      <c r="FR238" s="14"/>
      <c r="FS238" s="14"/>
      <c r="FT238" s="14"/>
      <c r="FU238" s="14"/>
      <c r="FV238" s="14"/>
      <c r="FW238" s="14"/>
      <c r="FX238" s="14"/>
      <c r="FY238" s="14"/>
      <c r="FZ238" s="14"/>
      <c r="GA238" s="14"/>
      <c r="GB238" s="31"/>
      <c r="GC238" s="14"/>
      <c r="GD238" s="14"/>
      <c r="GE238" s="14"/>
      <c r="GF238" s="14"/>
      <c r="GG238" s="14"/>
      <c r="GH238" s="14"/>
      <c r="GI238" s="14"/>
      <c r="GJ238" s="14"/>
      <c r="GK238" s="14"/>
      <c r="GL238" s="14"/>
      <c r="GM238" s="14"/>
      <c r="GN238" s="14"/>
      <c r="GO238" s="14"/>
      <c r="GP238" s="14"/>
      <c r="GQ238" s="14"/>
      <c r="GR238" s="14"/>
      <c r="GS238" s="14"/>
      <c r="GT238" s="14"/>
      <c r="GU238" s="14"/>
      <c r="GV238" s="14"/>
      <c r="GW238" s="14"/>
      <c r="GX238" s="14"/>
      <c r="GY238" s="14"/>
      <c r="GZ238" s="14"/>
      <c r="HA238" s="14"/>
    </row>
    <row r="239" ht="18.0" customHeight="1">
      <c r="A239" s="1"/>
      <c r="B239" s="28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295"/>
      <c r="N239" s="295"/>
      <c r="O239" s="295"/>
      <c r="P239" s="295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282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  <c r="DJ239" s="14"/>
      <c r="DK239" s="14"/>
      <c r="DL239" s="14"/>
      <c r="DM239" s="14"/>
      <c r="DN239" s="14"/>
      <c r="DO239" s="14"/>
      <c r="DP239" s="14"/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4"/>
      <c r="EJ239" s="14"/>
      <c r="EK239" s="14"/>
      <c r="EL239" s="14"/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31"/>
      <c r="FA239" s="31"/>
      <c r="FB239" s="14"/>
      <c r="FC239" s="14"/>
      <c r="FD239" s="14"/>
      <c r="FE239" s="14"/>
      <c r="FF239" s="14"/>
      <c r="FG239" s="14"/>
      <c r="FH239" s="14"/>
      <c r="FI239" s="14"/>
      <c r="FJ239" s="14"/>
      <c r="FK239" s="14"/>
      <c r="FL239" s="14"/>
      <c r="FM239" s="14"/>
      <c r="FN239" s="14"/>
      <c r="FO239" s="14"/>
      <c r="FP239" s="14"/>
      <c r="FQ239" s="14"/>
      <c r="FR239" s="14"/>
      <c r="FS239" s="14"/>
      <c r="FT239" s="14"/>
      <c r="FU239" s="14"/>
      <c r="FV239" s="14"/>
      <c r="FW239" s="14"/>
      <c r="FX239" s="14"/>
      <c r="FY239" s="14"/>
      <c r="FZ239" s="14"/>
      <c r="GA239" s="14"/>
      <c r="GB239" s="31"/>
      <c r="GC239" s="14"/>
      <c r="GD239" s="14"/>
      <c r="GE239" s="14"/>
      <c r="GF239" s="14"/>
      <c r="GG239" s="14"/>
      <c r="GH239" s="14"/>
      <c r="GI239" s="14"/>
      <c r="GJ239" s="14"/>
      <c r="GK239" s="14"/>
      <c r="GL239" s="14"/>
      <c r="GM239" s="14"/>
      <c r="GN239" s="14"/>
      <c r="GO239" s="14"/>
      <c r="GP239" s="14"/>
      <c r="GQ239" s="14"/>
      <c r="GR239" s="14"/>
      <c r="GS239" s="14"/>
      <c r="GT239" s="14"/>
      <c r="GU239" s="14"/>
      <c r="GV239" s="14"/>
      <c r="GW239" s="14"/>
      <c r="GX239" s="14"/>
      <c r="GY239" s="14"/>
      <c r="GZ239" s="14"/>
      <c r="HA239" s="14"/>
    </row>
    <row r="240" ht="18.0" customHeight="1">
      <c r="A240" s="1"/>
      <c r="B240" s="283"/>
      <c r="C240" s="94"/>
      <c r="D240" s="94"/>
      <c r="E240" s="94"/>
      <c r="F240" s="287"/>
      <c r="G240" s="287"/>
      <c r="H240" s="94"/>
      <c r="I240" s="287"/>
      <c r="J240" s="94"/>
      <c r="K240" s="94"/>
      <c r="L240" s="94"/>
      <c r="M240" s="295"/>
      <c r="N240" s="295"/>
      <c r="O240" s="295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282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  <c r="DJ240" s="14"/>
      <c r="DK240" s="14"/>
      <c r="DL240" s="14"/>
      <c r="DM240" s="14"/>
      <c r="DN240" s="14"/>
      <c r="DO240" s="14"/>
      <c r="DP240" s="14"/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4"/>
      <c r="EJ240" s="14"/>
      <c r="EK240" s="14"/>
      <c r="EL240" s="14"/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  <c r="EY240" s="14"/>
      <c r="EZ240" s="31"/>
      <c r="FA240" s="31"/>
      <c r="FB240" s="14"/>
      <c r="FC240" s="14"/>
      <c r="FD240" s="14"/>
      <c r="FE240" s="14"/>
      <c r="FF240" s="14"/>
      <c r="FG240" s="14"/>
      <c r="FH240" s="14"/>
      <c r="FI240" s="14"/>
      <c r="FJ240" s="14"/>
      <c r="FK240" s="14"/>
      <c r="FL240" s="14"/>
      <c r="FM240" s="14"/>
      <c r="FN240" s="14"/>
      <c r="FO240" s="14"/>
      <c r="FP240" s="14"/>
      <c r="FQ240" s="14"/>
      <c r="FR240" s="14"/>
      <c r="FS240" s="14"/>
      <c r="FT240" s="14"/>
      <c r="FU240" s="14"/>
      <c r="FV240" s="14"/>
      <c r="FW240" s="14"/>
      <c r="FX240" s="14"/>
      <c r="FY240" s="14"/>
      <c r="FZ240" s="14"/>
      <c r="GA240" s="14"/>
      <c r="GB240" s="31"/>
      <c r="GC240" s="14"/>
      <c r="GD240" s="14"/>
      <c r="GE240" s="14"/>
      <c r="GF240" s="14"/>
      <c r="GG240" s="14"/>
      <c r="GH240" s="14"/>
      <c r="GI240" s="14"/>
      <c r="GJ240" s="14"/>
      <c r="GK240" s="14"/>
      <c r="GL240" s="14"/>
      <c r="GM240" s="14"/>
      <c r="GN240" s="14"/>
      <c r="GO240" s="14"/>
      <c r="GP240" s="14"/>
      <c r="GQ240" s="14"/>
      <c r="GR240" s="14"/>
      <c r="GS240" s="14"/>
      <c r="GT240" s="14"/>
      <c r="GU240" s="14"/>
      <c r="GV240" s="14"/>
      <c r="GW240" s="14"/>
      <c r="GX240" s="14"/>
      <c r="GY240" s="14"/>
      <c r="GZ240" s="14"/>
      <c r="HA240" s="14"/>
    </row>
    <row r="241" ht="18.0" customHeight="1">
      <c r="A241" s="1"/>
      <c r="B241" s="28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295"/>
      <c r="N241" s="295"/>
      <c r="O241" s="295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282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  <c r="DJ241" s="14"/>
      <c r="DK241" s="14"/>
      <c r="DL241" s="14"/>
      <c r="DM241" s="14"/>
      <c r="DN241" s="14"/>
      <c r="DO241" s="14"/>
      <c r="DP241" s="14"/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4"/>
      <c r="EJ241" s="14"/>
      <c r="EK241" s="14"/>
      <c r="EL241" s="14"/>
      <c r="EM241" s="14"/>
      <c r="EN241" s="14"/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  <c r="EY241" s="14"/>
      <c r="EZ241" s="31"/>
      <c r="FA241" s="31"/>
      <c r="FB241" s="14"/>
      <c r="FC241" s="14"/>
      <c r="FD241" s="14"/>
      <c r="FE241" s="14"/>
      <c r="FF241" s="14"/>
      <c r="FG241" s="14"/>
      <c r="FH241" s="14"/>
      <c r="FI241" s="14"/>
      <c r="FJ241" s="14"/>
      <c r="FK241" s="14"/>
      <c r="FL241" s="14"/>
      <c r="FM241" s="14"/>
      <c r="FN241" s="14"/>
      <c r="FO241" s="14"/>
      <c r="FP241" s="14"/>
      <c r="FQ241" s="14"/>
      <c r="FR241" s="14"/>
      <c r="FS241" s="14"/>
      <c r="FT241" s="14"/>
      <c r="FU241" s="14"/>
      <c r="FV241" s="14"/>
      <c r="FW241" s="14"/>
      <c r="FX241" s="14"/>
      <c r="FY241" s="14"/>
      <c r="FZ241" s="14"/>
      <c r="GA241" s="14"/>
      <c r="GB241" s="31"/>
      <c r="GC241" s="14"/>
      <c r="GD241" s="14"/>
      <c r="GE241" s="14"/>
      <c r="GF241" s="14"/>
      <c r="GG241" s="14"/>
      <c r="GH241" s="14"/>
      <c r="GI241" s="14"/>
      <c r="GJ241" s="14"/>
      <c r="GK241" s="14"/>
      <c r="GL241" s="14"/>
      <c r="GM241" s="14"/>
      <c r="GN241" s="14"/>
      <c r="GO241" s="14"/>
      <c r="GP241" s="14"/>
      <c r="GQ241" s="14"/>
      <c r="GR241" s="14"/>
      <c r="GS241" s="14"/>
      <c r="GT241" s="14"/>
      <c r="GU241" s="14"/>
      <c r="GV241" s="14"/>
      <c r="GW241" s="14"/>
      <c r="GX241" s="14"/>
      <c r="GY241" s="14"/>
      <c r="GZ241" s="14"/>
      <c r="HA241" s="14"/>
    </row>
    <row r="242" ht="18.0" customHeight="1">
      <c r="A242" s="1"/>
      <c r="B242" s="283"/>
      <c r="C242" s="94"/>
      <c r="D242" s="94"/>
      <c r="E242" s="94"/>
      <c r="F242" s="287"/>
      <c r="G242" s="287"/>
      <c r="H242" s="94"/>
      <c r="I242" s="287"/>
      <c r="J242" s="94"/>
      <c r="K242" s="94"/>
      <c r="L242" s="94"/>
      <c r="M242" s="94"/>
      <c r="N242" s="94"/>
      <c r="O242" s="295"/>
      <c r="P242" s="295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282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  <c r="DM242" s="14"/>
      <c r="DN242" s="14"/>
      <c r="DO242" s="14"/>
      <c r="DP242" s="14"/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4"/>
      <c r="EJ242" s="14"/>
      <c r="EK242" s="14"/>
      <c r="EL242" s="14"/>
      <c r="EM242" s="14"/>
      <c r="EN242" s="14"/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  <c r="EY242" s="14"/>
      <c r="EZ242" s="31"/>
      <c r="FA242" s="31"/>
      <c r="FB242" s="14"/>
      <c r="FC242" s="14"/>
      <c r="FD242" s="14"/>
      <c r="FE242" s="14"/>
      <c r="FF242" s="14"/>
      <c r="FG242" s="14"/>
      <c r="FH242" s="14"/>
      <c r="FI242" s="14"/>
      <c r="FJ242" s="14"/>
      <c r="FK242" s="14"/>
      <c r="FL242" s="14"/>
      <c r="FM242" s="14"/>
      <c r="FN242" s="14"/>
      <c r="FO242" s="14"/>
      <c r="FP242" s="14"/>
      <c r="FQ242" s="14"/>
      <c r="FR242" s="14"/>
      <c r="FS242" s="14"/>
      <c r="FT242" s="14"/>
      <c r="FU242" s="14"/>
      <c r="FV242" s="14"/>
      <c r="FW242" s="14"/>
      <c r="FX242" s="14"/>
      <c r="FY242" s="14"/>
      <c r="FZ242" s="14"/>
      <c r="GA242" s="14"/>
      <c r="GB242" s="31"/>
      <c r="GC242" s="14"/>
      <c r="GD242" s="14"/>
      <c r="GE242" s="14"/>
      <c r="GF242" s="14"/>
      <c r="GG242" s="14"/>
      <c r="GH242" s="14"/>
      <c r="GI242" s="14"/>
      <c r="GJ242" s="14"/>
      <c r="GK242" s="14"/>
      <c r="GL242" s="14"/>
      <c r="GM242" s="14"/>
      <c r="GN242" s="14"/>
      <c r="GO242" s="14"/>
      <c r="GP242" s="14"/>
      <c r="GQ242" s="14"/>
      <c r="GR242" s="14"/>
      <c r="GS242" s="14"/>
      <c r="GT242" s="14"/>
      <c r="GU242" s="14"/>
      <c r="GV242" s="14"/>
      <c r="GW242" s="14"/>
      <c r="GX242" s="14"/>
      <c r="GY242" s="14"/>
      <c r="GZ242" s="14"/>
      <c r="HA242" s="14"/>
    </row>
    <row r="243" ht="18.0" customHeight="1">
      <c r="A243" s="1"/>
      <c r="B243" s="28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295"/>
      <c r="P243" s="295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282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4"/>
      <c r="DJ243" s="14"/>
      <c r="DK243" s="14"/>
      <c r="DL243" s="14"/>
      <c r="DM243" s="14"/>
      <c r="DN243" s="14"/>
      <c r="DO243" s="14"/>
      <c r="DP243" s="14"/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4"/>
      <c r="EJ243" s="14"/>
      <c r="EK243" s="14"/>
      <c r="EL243" s="14"/>
      <c r="EM243" s="14"/>
      <c r="EN243" s="14"/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31"/>
      <c r="FA243" s="31"/>
      <c r="FB243" s="14"/>
      <c r="FC243" s="14"/>
      <c r="FD243" s="14"/>
      <c r="FE243" s="14"/>
      <c r="FF243" s="14"/>
      <c r="FG243" s="14"/>
      <c r="FH243" s="14"/>
      <c r="FI243" s="14"/>
      <c r="FJ243" s="14"/>
      <c r="FK243" s="14"/>
      <c r="FL243" s="14"/>
      <c r="FM243" s="14"/>
      <c r="FN243" s="14"/>
      <c r="FO243" s="14"/>
      <c r="FP243" s="14"/>
      <c r="FQ243" s="14"/>
      <c r="FR243" s="14"/>
      <c r="FS243" s="14"/>
      <c r="FT243" s="14"/>
      <c r="FU243" s="14"/>
      <c r="FV243" s="14"/>
      <c r="FW243" s="14"/>
      <c r="FX243" s="14"/>
      <c r="FY243" s="14"/>
      <c r="FZ243" s="14"/>
      <c r="GA243" s="14"/>
      <c r="GB243" s="31"/>
      <c r="GC243" s="14"/>
      <c r="GD243" s="14"/>
      <c r="GE243" s="14"/>
      <c r="GF243" s="14"/>
      <c r="GG243" s="14"/>
      <c r="GH243" s="14"/>
      <c r="GI243" s="14"/>
      <c r="GJ243" s="14"/>
      <c r="GK243" s="14"/>
      <c r="GL243" s="14"/>
      <c r="GM243" s="14"/>
      <c r="GN243" s="14"/>
      <c r="GO243" s="14"/>
      <c r="GP243" s="14"/>
      <c r="GQ243" s="14"/>
      <c r="GR243" s="14"/>
      <c r="GS243" s="14"/>
      <c r="GT243" s="14"/>
      <c r="GU243" s="14"/>
      <c r="GV243" s="14"/>
      <c r="GW243" s="14"/>
      <c r="GX243" s="14"/>
      <c r="GY243" s="14"/>
      <c r="GZ243" s="14"/>
      <c r="HA243" s="14"/>
    </row>
    <row r="244" ht="18.0" customHeight="1">
      <c r="A244" s="1"/>
      <c r="B244" s="283"/>
      <c r="C244" s="94"/>
      <c r="D244" s="94"/>
      <c r="E244" s="94"/>
      <c r="F244" s="287"/>
      <c r="G244" s="287"/>
      <c r="H244" s="94"/>
      <c r="I244" s="287"/>
      <c r="J244" s="94"/>
      <c r="K244" s="94"/>
      <c r="L244" s="94"/>
      <c r="M244" s="295"/>
      <c r="N244" s="295"/>
      <c r="O244" s="295"/>
      <c r="P244" s="295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282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4"/>
      <c r="DJ244" s="14"/>
      <c r="DK244" s="14"/>
      <c r="DL244" s="14"/>
      <c r="DM244" s="14"/>
      <c r="DN244" s="14"/>
      <c r="DO244" s="14"/>
      <c r="DP244" s="14"/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4"/>
      <c r="EJ244" s="14"/>
      <c r="EK244" s="14"/>
      <c r="EL244" s="14"/>
      <c r="EM244" s="14"/>
      <c r="EN244" s="14"/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31"/>
      <c r="FA244" s="31"/>
      <c r="FB244" s="14"/>
      <c r="FC244" s="14"/>
      <c r="FD244" s="14"/>
      <c r="FE244" s="14"/>
      <c r="FF244" s="14"/>
      <c r="FG244" s="14"/>
      <c r="FH244" s="14"/>
      <c r="FI244" s="14"/>
      <c r="FJ244" s="14"/>
      <c r="FK244" s="14"/>
      <c r="FL244" s="14"/>
      <c r="FM244" s="14"/>
      <c r="FN244" s="14"/>
      <c r="FO244" s="14"/>
      <c r="FP244" s="14"/>
      <c r="FQ244" s="14"/>
      <c r="FR244" s="14"/>
      <c r="FS244" s="14"/>
      <c r="FT244" s="14"/>
      <c r="FU244" s="14"/>
      <c r="FV244" s="14"/>
      <c r="FW244" s="14"/>
      <c r="FX244" s="14"/>
      <c r="FY244" s="14"/>
      <c r="FZ244" s="14"/>
      <c r="GA244" s="14"/>
      <c r="GB244" s="31"/>
      <c r="GC244" s="14"/>
      <c r="GD244" s="14"/>
      <c r="GE244" s="14"/>
      <c r="GF244" s="14"/>
      <c r="GG244" s="14"/>
      <c r="GH244" s="14"/>
      <c r="GI244" s="14"/>
      <c r="GJ244" s="14"/>
      <c r="GK244" s="14"/>
      <c r="GL244" s="14"/>
      <c r="GM244" s="14"/>
      <c r="GN244" s="14"/>
      <c r="GO244" s="14"/>
      <c r="GP244" s="14"/>
      <c r="GQ244" s="14"/>
      <c r="GR244" s="14"/>
      <c r="GS244" s="14"/>
      <c r="GT244" s="14"/>
      <c r="GU244" s="14"/>
      <c r="GV244" s="14"/>
      <c r="GW244" s="14"/>
      <c r="GX244" s="14"/>
      <c r="GY244" s="14"/>
      <c r="GZ244" s="14"/>
      <c r="HA244" s="14"/>
    </row>
    <row r="245" ht="18.0" customHeight="1">
      <c r="A245" s="1"/>
      <c r="B245" s="28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295"/>
      <c r="N245" s="295"/>
      <c r="O245" s="295"/>
      <c r="P245" s="295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282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4"/>
      <c r="DF245" s="14"/>
      <c r="DG245" s="14"/>
      <c r="DH245" s="14"/>
      <c r="DI245" s="14"/>
      <c r="DJ245" s="14"/>
      <c r="DK245" s="14"/>
      <c r="DL245" s="14"/>
      <c r="DM245" s="14"/>
      <c r="DN245" s="14"/>
      <c r="DO245" s="14"/>
      <c r="DP245" s="14"/>
      <c r="DQ245" s="14"/>
      <c r="DR245" s="14"/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14"/>
      <c r="EH245" s="14"/>
      <c r="EI245" s="14"/>
      <c r="EJ245" s="14"/>
      <c r="EK245" s="14"/>
      <c r="EL245" s="14"/>
      <c r="EM245" s="14"/>
      <c r="EN245" s="14"/>
      <c r="EO245" s="14"/>
      <c r="EP245" s="14"/>
      <c r="EQ245" s="14"/>
      <c r="ER245" s="14"/>
      <c r="ES245" s="14"/>
      <c r="ET245" s="14"/>
      <c r="EU245" s="14"/>
      <c r="EV245" s="14"/>
      <c r="EW245" s="14"/>
      <c r="EX245" s="14"/>
      <c r="EY245" s="14"/>
      <c r="EZ245" s="31"/>
      <c r="FA245" s="31"/>
      <c r="FB245" s="14"/>
      <c r="FC245" s="14"/>
      <c r="FD245" s="14"/>
      <c r="FE245" s="14"/>
      <c r="FF245" s="14"/>
      <c r="FG245" s="14"/>
      <c r="FH245" s="14"/>
      <c r="FI245" s="14"/>
      <c r="FJ245" s="14"/>
      <c r="FK245" s="14"/>
      <c r="FL245" s="14"/>
      <c r="FM245" s="14"/>
      <c r="FN245" s="14"/>
      <c r="FO245" s="14"/>
      <c r="FP245" s="14"/>
      <c r="FQ245" s="14"/>
      <c r="FR245" s="14"/>
      <c r="FS245" s="14"/>
      <c r="FT245" s="14"/>
      <c r="FU245" s="14"/>
      <c r="FV245" s="14"/>
      <c r="FW245" s="14"/>
      <c r="FX245" s="14"/>
      <c r="FY245" s="14"/>
      <c r="FZ245" s="14"/>
      <c r="GA245" s="14"/>
      <c r="GB245" s="31"/>
      <c r="GC245" s="14"/>
      <c r="GD245" s="14"/>
      <c r="GE245" s="14"/>
      <c r="GF245" s="14"/>
      <c r="GG245" s="14"/>
      <c r="GH245" s="14"/>
      <c r="GI245" s="14"/>
      <c r="GJ245" s="14"/>
      <c r="GK245" s="14"/>
      <c r="GL245" s="14"/>
      <c r="GM245" s="14"/>
      <c r="GN245" s="14"/>
      <c r="GO245" s="14"/>
      <c r="GP245" s="14"/>
      <c r="GQ245" s="14"/>
      <c r="GR245" s="14"/>
      <c r="GS245" s="14"/>
      <c r="GT245" s="14"/>
      <c r="GU245" s="14"/>
      <c r="GV245" s="14"/>
      <c r="GW245" s="14"/>
      <c r="GX245" s="14"/>
      <c r="GY245" s="14"/>
      <c r="GZ245" s="14"/>
      <c r="HA245" s="14"/>
    </row>
    <row r="246" ht="18.0" customHeight="1">
      <c r="A246" s="1"/>
      <c r="B246" s="283"/>
      <c r="C246" s="94"/>
      <c r="D246" s="94"/>
      <c r="E246" s="94"/>
      <c r="F246" s="287"/>
      <c r="G246" s="287"/>
      <c r="H246" s="94"/>
      <c r="I246" s="287"/>
      <c r="J246" s="94"/>
      <c r="K246" s="94"/>
      <c r="L246" s="94"/>
      <c r="M246" s="295"/>
      <c r="N246" s="295"/>
      <c r="O246" s="295"/>
      <c r="P246" s="295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282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  <c r="DJ246" s="14"/>
      <c r="DK246" s="14"/>
      <c r="DL246" s="14"/>
      <c r="DM246" s="14"/>
      <c r="DN246" s="14"/>
      <c r="DO246" s="14"/>
      <c r="DP246" s="14"/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4"/>
      <c r="EJ246" s="14"/>
      <c r="EK246" s="14"/>
      <c r="EL246" s="14"/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31"/>
      <c r="FA246" s="31"/>
      <c r="FB246" s="14"/>
      <c r="FC246" s="14"/>
      <c r="FD246" s="14"/>
      <c r="FE246" s="14"/>
      <c r="FF246" s="14"/>
      <c r="FG246" s="14"/>
      <c r="FH246" s="14"/>
      <c r="FI246" s="14"/>
      <c r="FJ246" s="14"/>
      <c r="FK246" s="14"/>
      <c r="FL246" s="14"/>
      <c r="FM246" s="14"/>
      <c r="FN246" s="14"/>
      <c r="FO246" s="14"/>
      <c r="FP246" s="14"/>
      <c r="FQ246" s="14"/>
      <c r="FR246" s="14"/>
      <c r="FS246" s="14"/>
      <c r="FT246" s="14"/>
      <c r="FU246" s="14"/>
      <c r="FV246" s="14"/>
      <c r="FW246" s="14"/>
      <c r="FX246" s="14"/>
      <c r="FY246" s="14"/>
      <c r="FZ246" s="14"/>
      <c r="GA246" s="14"/>
      <c r="GB246" s="31"/>
      <c r="GC246" s="14"/>
      <c r="GD246" s="14"/>
      <c r="GE246" s="14"/>
      <c r="GF246" s="14"/>
      <c r="GG246" s="14"/>
      <c r="GH246" s="14"/>
      <c r="GI246" s="14"/>
      <c r="GJ246" s="14"/>
      <c r="GK246" s="14"/>
      <c r="GL246" s="14"/>
      <c r="GM246" s="14"/>
      <c r="GN246" s="14"/>
      <c r="GO246" s="14"/>
      <c r="GP246" s="14"/>
      <c r="GQ246" s="14"/>
      <c r="GR246" s="14"/>
      <c r="GS246" s="14"/>
      <c r="GT246" s="14"/>
      <c r="GU246" s="14"/>
      <c r="GV246" s="14"/>
      <c r="GW246" s="14"/>
      <c r="GX246" s="14"/>
      <c r="GY246" s="14"/>
      <c r="GZ246" s="14"/>
      <c r="HA246" s="14"/>
    </row>
    <row r="247" ht="18.0" customHeight="1">
      <c r="A247" s="1"/>
      <c r="B247" s="28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295"/>
      <c r="N247" s="295"/>
      <c r="O247" s="295"/>
      <c r="P247" s="295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282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  <c r="DJ247" s="14"/>
      <c r="DK247" s="14"/>
      <c r="DL247" s="14"/>
      <c r="DM247" s="14"/>
      <c r="DN247" s="14"/>
      <c r="DO247" s="14"/>
      <c r="DP247" s="14"/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4"/>
      <c r="EJ247" s="14"/>
      <c r="EK247" s="14"/>
      <c r="EL247" s="14"/>
      <c r="EM247" s="14"/>
      <c r="EN247" s="14"/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  <c r="EY247" s="14"/>
      <c r="EZ247" s="31"/>
      <c r="FA247" s="31"/>
      <c r="FB247" s="14"/>
      <c r="FC247" s="14"/>
      <c r="FD247" s="14"/>
      <c r="FE247" s="14"/>
      <c r="FF247" s="14"/>
      <c r="FG247" s="14"/>
      <c r="FH247" s="14"/>
      <c r="FI247" s="14"/>
      <c r="FJ247" s="14"/>
      <c r="FK247" s="14"/>
      <c r="FL247" s="14"/>
      <c r="FM247" s="14"/>
      <c r="FN247" s="14"/>
      <c r="FO247" s="14"/>
      <c r="FP247" s="14"/>
      <c r="FQ247" s="14"/>
      <c r="FR247" s="14"/>
      <c r="FS247" s="14"/>
      <c r="FT247" s="14"/>
      <c r="FU247" s="14"/>
      <c r="FV247" s="14"/>
      <c r="FW247" s="14"/>
      <c r="FX247" s="14"/>
      <c r="FY247" s="14"/>
      <c r="FZ247" s="14"/>
      <c r="GA247" s="14"/>
      <c r="GB247" s="31"/>
      <c r="GC247" s="14"/>
      <c r="GD247" s="14"/>
      <c r="GE247" s="14"/>
      <c r="GF247" s="14"/>
      <c r="GG247" s="14"/>
      <c r="GH247" s="14"/>
      <c r="GI247" s="14"/>
      <c r="GJ247" s="14"/>
      <c r="GK247" s="14"/>
      <c r="GL247" s="14"/>
      <c r="GM247" s="14"/>
      <c r="GN247" s="14"/>
      <c r="GO247" s="14"/>
      <c r="GP247" s="14"/>
      <c r="GQ247" s="14"/>
      <c r="GR247" s="14"/>
      <c r="GS247" s="14"/>
      <c r="GT247" s="14"/>
      <c r="GU247" s="14"/>
      <c r="GV247" s="14"/>
      <c r="GW247" s="14"/>
      <c r="GX247" s="14"/>
      <c r="GY247" s="14"/>
      <c r="GZ247" s="14"/>
      <c r="HA247" s="14"/>
    </row>
    <row r="248" ht="15.75" customHeight="1">
      <c r="A248" s="1"/>
      <c r="B248" s="9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282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4"/>
      <c r="DG248" s="14"/>
      <c r="DH248" s="14"/>
      <c r="DI248" s="14"/>
      <c r="DJ248" s="14"/>
      <c r="DK248" s="14"/>
      <c r="DL248" s="14"/>
      <c r="DM248" s="14"/>
      <c r="DN248" s="14"/>
      <c r="DO248" s="14"/>
      <c r="DP248" s="14"/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14"/>
      <c r="EH248" s="14"/>
      <c r="EI248" s="14"/>
      <c r="EJ248" s="14"/>
      <c r="EK248" s="14"/>
      <c r="EL248" s="14"/>
      <c r="EM248" s="14"/>
      <c r="EN248" s="14"/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  <c r="EY248" s="14"/>
      <c r="EZ248" s="31"/>
      <c r="FA248" s="31"/>
      <c r="FB248" s="14"/>
      <c r="FC248" s="14"/>
      <c r="FD248" s="14"/>
      <c r="FE248" s="14"/>
      <c r="FF248" s="14"/>
      <c r="FG248" s="14"/>
      <c r="FH248" s="14"/>
      <c r="FI248" s="14"/>
      <c r="FJ248" s="14"/>
      <c r="FK248" s="14"/>
      <c r="FL248" s="14"/>
      <c r="FM248" s="14"/>
      <c r="FN248" s="14"/>
      <c r="FO248" s="14"/>
      <c r="FP248" s="14"/>
      <c r="FQ248" s="14"/>
      <c r="FR248" s="14"/>
      <c r="FS248" s="14"/>
      <c r="FT248" s="14"/>
      <c r="FU248" s="14"/>
      <c r="FV248" s="14"/>
      <c r="FW248" s="14"/>
      <c r="FX248" s="14"/>
      <c r="FY248" s="14"/>
      <c r="FZ248" s="14"/>
      <c r="GA248" s="14"/>
      <c r="GB248" s="31"/>
      <c r="GC248" s="14"/>
      <c r="GD248" s="14"/>
      <c r="GE248" s="14"/>
      <c r="GF248" s="14"/>
      <c r="GG248" s="14"/>
      <c r="GH248" s="14"/>
      <c r="GI248" s="14"/>
      <c r="GJ248" s="14"/>
      <c r="GK248" s="14"/>
      <c r="GL248" s="14"/>
      <c r="GM248" s="14"/>
      <c r="GN248" s="14"/>
      <c r="GO248" s="14"/>
      <c r="GP248" s="14"/>
      <c r="GQ248" s="14"/>
      <c r="GR248" s="14"/>
      <c r="GS248" s="14"/>
      <c r="GT248" s="14"/>
      <c r="GU248" s="14"/>
      <c r="GV248" s="14"/>
      <c r="GW248" s="14"/>
      <c r="GX248" s="14"/>
      <c r="GY248" s="14"/>
      <c r="GZ248" s="14"/>
      <c r="HA248" s="14"/>
    </row>
    <row r="249" ht="15.75" customHeight="1">
      <c r="A249" s="1"/>
      <c r="B249" s="9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282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4"/>
      <c r="DF249" s="14"/>
      <c r="DG249" s="14"/>
      <c r="DH249" s="14"/>
      <c r="DI249" s="14"/>
      <c r="DJ249" s="14"/>
      <c r="DK249" s="14"/>
      <c r="DL249" s="14"/>
      <c r="DM249" s="14"/>
      <c r="DN249" s="14"/>
      <c r="DO249" s="14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4"/>
      <c r="EJ249" s="14"/>
      <c r="EK249" s="14"/>
      <c r="EL249" s="14"/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31"/>
      <c r="FA249" s="31"/>
      <c r="FB249" s="14"/>
      <c r="FC249" s="14"/>
      <c r="FD249" s="14"/>
      <c r="FE249" s="14"/>
      <c r="FF249" s="14"/>
      <c r="FG249" s="14"/>
      <c r="FH249" s="14"/>
      <c r="FI249" s="14"/>
      <c r="FJ249" s="14"/>
      <c r="FK249" s="14"/>
      <c r="FL249" s="14"/>
      <c r="FM249" s="14"/>
      <c r="FN249" s="14"/>
      <c r="FO249" s="14"/>
      <c r="FP249" s="14"/>
      <c r="FQ249" s="14"/>
      <c r="FR249" s="14"/>
      <c r="FS249" s="14"/>
      <c r="FT249" s="14"/>
      <c r="FU249" s="14"/>
      <c r="FV249" s="14"/>
      <c r="FW249" s="14"/>
      <c r="FX249" s="14"/>
      <c r="FY249" s="14"/>
      <c r="FZ249" s="14"/>
      <c r="GA249" s="14"/>
      <c r="GB249" s="31"/>
      <c r="GC249" s="14"/>
      <c r="GD249" s="14"/>
      <c r="GE249" s="14"/>
      <c r="GF249" s="14"/>
      <c r="GG249" s="14"/>
      <c r="GH249" s="14"/>
      <c r="GI249" s="14"/>
      <c r="GJ249" s="14"/>
      <c r="GK249" s="14"/>
      <c r="GL249" s="14"/>
      <c r="GM249" s="14"/>
      <c r="GN249" s="14"/>
      <c r="GO249" s="14"/>
      <c r="GP249" s="14"/>
      <c r="GQ249" s="14"/>
      <c r="GR249" s="14"/>
      <c r="GS249" s="14"/>
      <c r="GT249" s="14"/>
      <c r="GU249" s="14"/>
      <c r="GV249" s="14"/>
      <c r="GW249" s="14"/>
      <c r="GX249" s="14"/>
      <c r="GY249" s="14"/>
      <c r="GZ249" s="14"/>
      <c r="HA249" s="14"/>
    </row>
    <row r="250" ht="15.75" customHeight="1">
      <c r="A250" s="1"/>
      <c r="B250" s="9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282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4"/>
      <c r="DF250" s="14"/>
      <c r="DG250" s="14"/>
      <c r="DH250" s="14"/>
      <c r="DI250" s="14"/>
      <c r="DJ250" s="14"/>
      <c r="DK250" s="14"/>
      <c r="DL250" s="14"/>
      <c r="DM250" s="14"/>
      <c r="DN250" s="14"/>
      <c r="DO250" s="14"/>
      <c r="DP250" s="14"/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4"/>
      <c r="EJ250" s="14"/>
      <c r="EK250" s="14"/>
      <c r="EL250" s="14"/>
      <c r="EM250" s="14"/>
      <c r="EN250" s="14"/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31"/>
      <c r="FA250" s="31"/>
      <c r="FB250" s="14"/>
      <c r="FC250" s="14"/>
      <c r="FD250" s="14"/>
      <c r="FE250" s="14"/>
      <c r="FF250" s="14"/>
      <c r="FG250" s="14"/>
      <c r="FH250" s="14"/>
      <c r="FI250" s="14"/>
      <c r="FJ250" s="14"/>
      <c r="FK250" s="14"/>
      <c r="FL250" s="14"/>
      <c r="FM250" s="14"/>
      <c r="FN250" s="14"/>
      <c r="FO250" s="14"/>
      <c r="FP250" s="14"/>
      <c r="FQ250" s="14"/>
      <c r="FR250" s="14"/>
      <c r="FS250" s="14"/>
      <c r="FT250" s="14"/>
      <c r="FU250" s="14"/>
      <c r="FV250" s="14"/>
      <c r="FW250" s="14"/>
      <c r="FX250" s="14"/>
      <c r="FY250" s="14"/>
      <c r="FZ250" s="14"/>
      <c r="GA250" s="14"/>
      <c r="GB250" s="31"/>
      <c r="GC250" s="14"/>
      <c r="GD250" s="14"/>
      <c r="GE250" s="14"/>
      <c r="GF250" s="14"/>
      <c r="GG250" s="14"/>
      <c r="GH250" s="14"/>
      <c r="GI250" s="14"/>
      <c r="GJ250" s="14"/>
      <c r="GK250" s="14"/>
      <c r="GL250" s="14"/>
      <c r="GM250" s="14"/>
      <c r="GN250" s="14"/>
      <c r="GO250" s="14"/>
      <c r="GP250" s="14"/>
      <c r="GQ250" s="14"/>
      <c r="GR250" s="14"/>
      <c r="GS250" s="14"/>
      <c r="GT250" s="14"/>
      <c r="GU250" s="14"/>
      <c r="GV250" s="14"/>
      <c r="GW250" s="14"/>
      <c r="GX250" s="14"/>
      <c r="GY250" s="14"/>
      <c r="GZ250" s="14"/>
      <c r="HA250" s="14"/>
    </row>
    <row r="251" ht="15.75" customHeight="1">
      <c r="A251" s="1"/>
      <c r="B251" s="9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282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4"/>
      <c r="DF251" s="14"/>
      <c r="DG251" s="14"/>
      <c r="DH251" s="14"/>
      <c r="DI251" s="14"/>
      <c r="DJ251" s="14"/>
      <c r="DK251" s="14"/>
      <c r="DL251" s="14"/>
      <c r="DM251" s="14"/>
      <c r="DN251" s="14"/>
      <c r="DO251" s="14"/>
      <c r="DP251" s="14"/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/>
      <c r="EF251" s="14"/>
      <c r="EG251" s="14"/>
      <c r="EH251" s="14"/>
      <c r="EI251" s="14"/>
      <c r="EJ251" s="14"/>
      <c r="EK251" s="14"/>
      <c r="EL251" s="14"/>
      <c r="EM251" s="14"/>
      <c r="EN251" s="14"/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31"/>
      <c r="FA251" s="31"/>
      <c r="FB251" s="14"/>
      <c r="FC251" s="14"/>
      <c r="FD251" s="14"/>
      <c r="FE251" s="14"/>
      <c r="FF251" s="14"/>
      <c r="FG251" s="14"/>
      <c r="FH251" s="14"/>
      <c r="FI251" s="14"/>
      <c r="FJ251" s="14"/>
      <c r="FK251" s="14"/>
      <c r="FL251" s="14"/>
      <c r="FM251" s="14"/>
      <c r="FN251" s="14"/>
      <c r="FO251" s="14"/>
      <c r="FP251" s="14"/>
      <c r="FQ251" s="14"/>
      <c r="FR251" s="14"/>
      <c r="FS251" s="14"/>
      <c r="FT251" s="14"/>
      <c r="FU251" s="14"/>
      <c r="FV251" s="14"/>
      <c r="FW251" s="14"/>
      <c r="FX251" s="14"/>
      <c r="FY251" s="14"/>
      <c r="FZ251" s="14"/>
      <c r="GA251" s="14"/>
      <c r="GB251" s="31"/>
      <c r="GC251" s="14"/>
      <c r="GD251" s="14"/>
      <c r="GE251" s="14"/>
      <c r="GF251" s="14"/>
      <c r="GG251" s="14"/>
      <c r="GH251" s="14"/>
      <c r="GI251" s="14"/>
      <c r="GJ251" s="14"/>
      <c r="GK251" s="14"/>
      <c r="GL251" s="14"/>
      <c r="GM251" s="14"/>
      <c r="GN251" s="14"/>
      <c r="GO251" s="14"/>
      <c r="GP251" s="14"/>
      <c r="GQ251" s="14"/>
      <c r="GR251" s="14"/>
      <c r="GS251" s="14"/>
      <c r="GT251" s="14"/>
      <c r="GU251" s="14"/>
      <c r="GV251" s="14"/>
      <c r="GW251" s="14"/>
      <c r="GX251" s="14"/>
      <c r="GY251" s="14"/>
      <c r="GZ251" s="14"/>
      <c r="HA251" s="14"/>
    </row>
    <row r="252" ht="15.75" customHeight="1">
      <c r="A252" s="1"/>
      <c r="B252" s="9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282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  <c r="DJ252" s="14"/>
      <c r="DK252" s="14"/>
      <c r="DL252" s="14"/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4"/>
      <c r="EJ252" s="14"/>
      <c r="EK252" s="14"/>
      <c r="EL252" s="14"/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31"/>
      <c r="FA252" s="31"/>
      <c r="FB252" s="14"/>
      <c r="FC252" s="14"/>
      <c r="FD252" s="14"/>
      <c r="FE252" s="14"/>
      <c r="FF252" s="14"/>
      <c r="FG252" s="14"/>
      <c r="FH252" s="14"/>
      <c r="FI252" s="14"/>
      <c r="FJ252" s="14"/>
      <c r="FK252" s="14"/>
      <c r="FL252" s="14"/>
      <c r="FM252" s="14"/>
      <c r="FN252" s="14"/>
      <c r="FO252" s="14"/>
      <c r="FP252" s="14"/>
      <c r="FQ252" s="14"/>
      <c r="FR252" s="14"/>
      <c r="FS252" s="14"/>
      <c r="FT252" s="14"/>
      <c r="FU252" s="14"/>
      <c r="FV252" s="14"/>
      <c r="FW252" s="14"/>
      <c r="FX252" s="14"/>
      <c r="FY252" s="14"/>
      <c r="FZ252" s="14"/>
      <c r="GA252" s="14"/>
      <c r="GB252" s="31"/>
      <c r="GC252" s="14"/>
      <c r="GD252" s="14"/>
      <c r="GE252" s="14"/>
      <c r="GF252" s="14"/>
      <c r="GG252" s="14"/>
      <c r="GH252" s="14"/>
      <c r="GI252" s="14"/>
      <c r="GJ252" s="14"/>
      <c r="GK252" s="14"/>
      <c r="GL252" s="14"/>
      <c r="GM252" s="14"/>
      <c r="GN252" s="14"/>
      <c r="GO252" s="14"/>
      <c r="GP252" s="14"/>
      <c r="GQ252" s="14"/>
      <c r="GR252" s="14"/>
      <c r="GS252" s="14"/>
      <c r="GT252" s="14"/>
      <c r="GU252" s="14"/>
      <c r="GV252" s="14"/>
      <c r="GW252" s="14"/>
      <c r="GX252" s="14"/>
      <c r="GY252" s="14"/>
      <c r="GZ252" s="14"/>
      <c r="HA252" s="14"/>
    </row>
    <row r="253" ht="15.75" customHeight="1">
      <c r="A253" s="1"/>
      <c r="B253" s="9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282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4"/>
      <c r="DF253" s="14"/>
      <c r="DG253" s="14"/>
      <c r="DH253" s="14"/>
      <c r="DI253" s="14"/>
      <c r="DJ253" s="14"/>
      <c r="DK253" s="14"/>
      <c r="DL253" s="14"/>
      <c r="DM253" s="14"/>
      <c r="DN253" s="14"/>
      <c r="DO253" s="14"/>
      <c r="DP253" s="14"/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14"/>
      <c r="EH253" s="14"/>
      <c r="EI253" s="14"/>
      <c r="EJ253" s="14"/>
      <c r="EK253" s="14"/>
      <c r="EL253" s="14"/>
      <c r="EM253" s="14"/>
      <c r="EN253" s="14"/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  <c r="EY253" s="14"/>
      <c r="EZ253" s="31"/>
      <c r="FA253" s="31"/>
      <c r="FB253" s="14"/>
      <c r="FC253" s="14"/>
      <c r="FD253" s="14"/>
      <c r="FE253" s="14"/>
      <c r="FF253" s="14"/>
      <c r="FG253" s="14"/>
      <c r="FH253" s="14"/>
      <c r="FI253" s="14"/>
      <c r="FJ253" s="14"/>
      <c r="FK253" s="14"/>
      <c r="FL253" s="14"/>
      <c r="FM253" s="14"/>
      <c r="FN253" s="14"/>
      <c r="FO253" s="14"/>
      <c r="FP253" s="14"/>
      <c r="FQ253" s="14"/>
      <c r="FR253" s="14"/>
      <c r="FS253" s="14"/>
      <c r="FT253" s="14"/>
      <c r="FU253" s="14"/>
      <c r="FV253" s="14"/>
      <c r="FW253" s="14"/>
      <c r="FX253" s="14"/>
      <c r="FY253" s="14"/>
      <c r="FZ253" s="14"/>
      <c r="GA253" s="14"/>
      <c r="GB253" s="31"/>
      <c r="GC253" s="14"/>
      <c r="GD253" s="14"/>
      <c r="GE253" s="14"/>
      <c r="GF253" s="14"/>
      <c r="GG253" s="14"/>
      <c r="GH253" s="14"/>
      <c r="GI253" s="14"/>
      <c r="GJ253" s="14"/>
      <c r="GK253" s="14"/>
      <c r="GL253" s="14"/>
      <c r="GM253" s="14"/>
      <c r="GN253" s="14"/>
      <c r="GO253" s="14"/>
      <c r="GP253" s="14"/>
      <c r="GQ253" s="14"/>
      <c r="GR253" s="14"/>
      <c r="GS253" s="14"/>
      <c r="GT253" s="14"/>
      <c r="GU253" s="14"/>
      <c r="GV253" s="14"/>
      <c r="GW253" s="14"/>
      <c r="GX253" s="14"/>
      <c r="GY253" s="14"/>
      <c r="GZ253" s="14"/>
      <c r="HA253" s="14"/>
    </row>
  </sheetData>
  <mergeCells count="122">
    <mergeCell ref="CQ8:CQ19"/>
    <mergeCell ref="BY20:CA20"/>
    <mergeCell ref="CB20:CD20"/>
    <mergeCell ref="CS25:CS36"/>
    <mergeCell ref="CS8:CS19"/>
    <mergeCell ref="CT8:CT19"/>
    <mergeCell ref="DS8:DS19"/>
    <mergeCell ref="EF8:EF19"/>
    <mergeCell ref="EP8:EP19"/>
    <mergeCell ref="EQ8:EQ19"/>
    <mergeCell ref="FA8:FA19"/>
    <mergeCell ref="FY25:FY36"/>
    <mergeCell ref="GD25:GD36"/>
    <mergeCell ref="DB20:DD20"/>
    <mergeCell ref="DE20:DG20"/>
    <mergeCell ref="EH20:EJ20"/>
    <mergeCell ref="EK20:EM20"/>
    <mergeCell ref="DV25:DV36"/>
    <mergeCell ref="FW25:FW36"/>
    <mergeCell ref="FX25:FX36"/>
    <mergeCell ref="N39:T39"/>
    <mergeCell ref="U39:AA39"/>
    <mergeCell ref="B40:B41"/>
    <mergeCell ref="C42:C53"/>
    <mergeCell ref="H42:H53"/>
    <mergeCell ref="AB39:AH39"/>
    <mergeCell ref="AI39:AO39"/>
    <mergeCell ref="AP39:AV39"/>
    <mergeCell ref="AW39:BC39"/>
    <mergeCell ref="BD39:BI39"/>
    <mergeCell ref="O37:R37"/>
    <mergeCell ref="S37:V37"/>
    <mergeCell ref="AT37:AW37"/>
    <mergeCell ref="AX37:BA37"/>
    <mergeCell ref="C38:L38"/>
    <mergeCell ref="C39:F39"/>
    <mergeCell ref="G39:M39"/>
    <mergeCell ref="C4:H4"/>
    <mergeCell ref="G5:M5"/>
    <mergeCell ref="N5:T5"/>
    <mergeCell ref="U5:AA5"/>
    <mergeCell ref="AB5:AH5"/>
    <mergeCell ref="AI5:AO5"/>
    <mergeCell ref="AP5:AV5"/>
    <mergeCell ref="C5:F5"/>
    <mergeCell ref="C8:C19"/>
    <mergeCell ref="H8:H19"/>
    <mergeCell ref="O20:R20"/>
    <mergeCell ref="S20:V20"/>
    <mergeCell ref="AR20:AT20"/>
    <mergeCell ref="AU20:AW20"/>
    <mergeCell ref="C22:G22"/>
    <mergeCell ref="H22:N22"/>
    <mergeCell ref="O22:U22"/>
    <mergeCell ref="V22:AB22"/>
    <mergeCell ref="AC22:AI22"/>
    <mergeCell ref="AJ22:AP22"/>
    <mergeCell ref="AQ22:AW22"/>
    <mergeCell ref="AX22:BD22"/>
    <mergeCell ref="BE22:BK22"/>
    <mergeCell ref="BL22:BR22"/>
    <mergeCell ref="BS22:BY22"/>
    <mergeCell ref="BZ22:CF22"/>
    <mergeCell ref="CG22:CM22"/>
    <mergeCell ref="CN22:CT22"/>
    <mergeCell ref="ER22:EX22"/>
    <mergeCell ref="EY22:FE22"/>
    <mergeCell ref="FF22:FL22"/>
    <mergeCell ref="FM22:FS22"/>
    <mergeCell ref="FT22:FZ22"/>
    <mergeCell ref="GA22:GD22"/>
    <mergeCell ref="GE24:GF24"/>
    <mergeCell ref="GG24:GH24"/>
    <mergeCell ref="CU22:DA22"/>
    <mergeCell ref="DB22:DH22"/>
    <mergeCell ref="DI22:DO22"/>
    <mergeCell ref="DP22:DV22"/>
    <mergeCell ref="DW22:EC22"/>
    <mergeCell ref="ED22:EJ22"/>
    <mergeCell ref="EK22:EQ22"/>
    <mergeCell ref="CY3:DB3"/>
    <mergeCell ref="DC3:DF3"/>
    <mergeCell ref="EE3:EH3"/>
    <mergeCell ref="EI3:EL3"/>
    <mergeCell ref="FH3:FK3"/>
    <mergeCell ref="FL3:FO3"/>
    <mergeCell ref="EO4:FD4"/>
    <mergeCell ref="C2:F2"/>
    <mergeCell ref="M3:P3"/>
    <mergeCell ref="Q3:T3"/>
    <mergeCell ref="AR3:AU3"/>
    <mergeCell ref="BT3:BW3"/>
    <mergeCell ref="BX3:CA3"/>
    <mergeCell ref="CK4:CZ4"/>
    <mergeCell ref="AV3:AY3"/>
    <mergeCell ref="AU4:BC4"/>
    <mergeCell ref="AW5:BC5"/>
    <mergeCell ref="BD5:BJ5"/>
    <mergeCell ref="BK5:BQ5"/>
    <mergeCell ref="BR5:BX5"/>
    <mergeCell ref="BY5:CE5"/>
    <mergeCell ref="CF5:CL5"/>
    <mergeCell ref="CM5:CS5"/>
    <mergeCell ref="CT5:CZ5"/>
    <mergeCell ref="DA5:DG5"/>
    <mergeCell ref="DH5:DN5"/>
    <mergeCell ref="DO5:DU5"/>
    <mergeCell ref="DV5:EB5"/>
    <mergeCell ref="FL5:FR5"/>
    <mergeCell ref="FK20:FM20"/>
    <mergeCell ref="FN20:FP20"/>
    <mergeCell ref="EC5:EI5"/>
    <mergeCell ref="EJ5:EP5"/>
    <mergeCell ref="EQ5:EW5"/>
    <mergeCell ref="EX5:FD5"/>
    <mergeCell ref="FE5:FK5"/>
    <mergeCell ref="FS5:FY5"/>
    <mergeCell ref="FZ5:GA5"/>
    <mergeCell ref="C21:E21"/>
    <mergeCell ref="AF21:BY21"/>
    <mergeCell ref="DN21:DV21"/>
    <mergeCell ref="FV21:GD21"/>
  </mergeCells>
  <printOptions horizontalCentered="1"/>
  <pageMargins bottom="0.984251968503937" footer="0.0" header="0.0" left="0.7874015748031497" right="0.7874015748031497" top="1.5748031496062993"/>
  <pageSetup paperSize="9" orientation="landscape" pageOrder="overThenDown"/>
  <headerFooter>
    <oddHeader/>
  </headerFooter>
  <colBreaks count="4" manualBreakCount="4">
    <brk id="33" man="1"/>
    <brk id="122" man="1"/>
    <brk id="155" man="1"/>
    <brk id="94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14"/>
    <col customWidth="1" min="3" max="20" width="6.86"/>
    <col customWidth="1" min="21" max="26" width="11.43"/>
  </cols>
  <sheetData>
    <row r="1" ht="12.75" customHeight="1"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</row>
    <row r="2" ht="12.75" customHeight="1">
      <c r="B2" s="301" t="s">
        <v>0</v>
      </c>
      <c r="C2" s="302">
        <f>Dienstplan!C2</f>
        <v>2026</v>
      </c>
    </row>
    <row r="3" ht="12.75" customHeight="1">
      <c r="C3" s="303" t="str">
        <f>Monat!AB3</f>
        <v>FI</v>
      </c>
      <c r="D3" s="303" t="str">
        <f>Monat!AB4</f>
        <v>FII</v>
      </c>
      <c r="E3" s="303" t="str">
        <f>Monat!AB5</f>
        <v>SI</v>
      </c>
      <c r="F3" s="303" t="str">
        <f>Monat!AB6</f>
        <v>NI</v>
      </c>
      <c r="G3" s="303" t="str">
        <f>Monat!AB7</f>
        <v>DI</v>
      </c>
      <c r="H3" s="303" t="str">
        <f>Monat!AB8</f>
        <v>DII</v>
      </c>
      <c r="I3" s="303" t="str">
        <f>Monat!AB9</f>
        <v>SD</v>
      </c>
      <c r="J3" s="303" t="str">
        <f>Monat!AB10</f>
        <v>GT</v>
      </c>
      <c r="K3" s="303" t="str">
        <f>Monat!AB11</f>
        <v>U</v>
      </c>
      <c r="L3" s="303" t="str">
        <f>Monat!AB12</f>
        <v>EH</v>
      </c>
      <c r="M3" s="303" t="str">
        <f>Monat!AB13</f>
        <v>KT</v>
      </c>
      <c r="N3" s="303" t="str">
        <f>Monat!AB14</f>
        <v>Sek</v>
      </c>
      <c r="O3" s="303" t="str">
        <f>Monat!AB15</f>
        <v>Fobi</v>
      </c>
      <c r="P3" s="303" t="str">
        <f>Monat!AB16</f>
        <v>A</v>
      </c>
      <c r="Q3" s="303" t="str">
        <f>Monat!AB17</f>
        <v>Kur</v>
      </c>
      <c r="R3" s="303" t="str">
        <f>Monat!AB18</f>
        <v>FZC</v>
      </c>
      <c r="S3" s="303" t="str">
        <f>Monat!AB19</f>
        <v>NST</v>
      </c>
      <c r="T3" s="304"/>
    </row>
    <row r="4" ht="12.75" customHeight="1">
      <c r="B4" s="304" t="str">
        <f>Dienstplan!B8</f>
        <v>Breig</v>
      </c>
      <c r="C4" s="305">
        <f>SUM(Monat!C4,Monat!C20,Monat!C36,Monat!C52,Monat!C68,Monat!C84,Monat!C100+Monat!C116,Monat!C132,Monat!C148,Monat!C164,Monat!C180)</f>
        <v>16</v>
      </c>
      <c r="D4" s="302">
        <f>SUM(Monat!D4,Monat!D20,Monat!D36,Monat!D52,Monat!D68,Monat!D84,Monat!D100+Monat!D116,Monat!D132,Monat!D148,Monat!D164,Monat!D180)</f>
        <v>8</v>
      </c>
      <c r="E4" s="305">
        <f>SUM(Monat!E4,Monat!E20,Monat!E36,Monat!E52,Monat!E68,Monat!E84,Monat!E100,Monat!E116,Monat!E132,Monat!E148,Monat!E164,Monat!E180)</f>
        <v>13</v>
      </c>
      <c r="F4" s="302">
        <f>SUM(Monat!F4,Monat!F20,Monat!F36,Monat!F52,Monat!F68,Monat!F84,Monat!F100+Monat!F116,Monat!F132,Monat!F148,Monat!F164,Monat!F180)</f>
        <v>43</v>
      </c>
      <c r="G4" s="302">
        <f>SUM(Monat!G4,Monat!G20,Monat!G36,Monat!G52,Monat!G68,Monat!G84,Monat!G100+Monat!G116,Monat!G132,Monat!G148,Monat!G164,Monat!G180)</f>
        <v>5</v>
      </c>
      <c r="H4" s="302">
        <f>SUM(Monat!H4,Monat!H20,Monat!H36,Monat!H52,Monat!H68,Monat!H84,Monat!H100+Monat!H116,Monat!H132,Monat!H148,Monat!H164,Monat!H180)</f>
        <v>0</v>
      </c>
      <c r="I4" s="305">
        <f>SUM(Monat!I4,Monat!I20,Monat!I36,Monat!I52,Monat!I68,Monat!I84,Monat!I100+Monat!I116,Monat!I132,Monat!I148,Monat!I164,Monat!I180)</f>
        <v>0</v>
      </c>
      <c r="J4" s="302">
        <f>SUM(Monat!J4,Monat!J20,Monat!J36,Monat!J52,Monat!J68,Monat!J84,Monat!J100+Monat!J116,Monat!J132,Monat!J148,Monat!J164,Monat!J180)</f>
        <v>1</v>
      </c>
      <c r="K4" s="305">
        <f>SUM(Monat!K4,Monat!K20,Monat!K36,Monat!K52,Monat!K68,Monat!K84,Monat!K100+Monat!K116,Monat!K132,Monat!K148,Monat!K164,Monat!K180)</f>
        <v>37</v>
      </c>
      <c r="L4" s="306">
        <f>SUM(Monat!L4,Monat!L20,Monat!L36,Monat!L52,Monat!L68,Monat!L84,Monat!L100+Monat!L116,Monat!L132,Monat!L148,Monat!L164,Monat!L180)</f>
        <v>2</v>
      </c>
      <c r="M4" s="305">
        <f>SUM(Monat!M4,Monat!M20,Monat!M36,Monat!M52,Monat!M68,Monat!M84,Monat!M100+Monat!M116,Monat!M132,Monat!M148,Monat!M164,Monat!M180)</f>
        <v>0</v>
      </c>
      <c r="N4" s="302">
        <f>SUM(Monat!N4,Monat!N20,Monat!N36,Monat!N52,Monat!N68,Monat!N84,Monat!N100+Monat!N116,Monat!N132,Monat!N148,Monat!N164,Monat!N180)</f>
        <v>0</v>
      </c>
      <c r="O4" s="305">
        <f>SUM(Monat!O4,Monat!O20,Monat!O36,Monat!O52,Monat!O68,Monat!O84,Monat!O100+Monat!O116,Monat!O132,Monat!O148,Monat!O164,Monat!O180)</f>
        <v>5</v>
      </c>
      <c r="P4" s="306">
        <f>SUM(Monat!P4,Monat!P20,Monat!P36,Monat!P52,Monat!P68,Monat!P84,Monat!P100+Monat!P116,Monat!P132,Monat!P148,Monat!P164,Monat!P180)</f>
        <v>2</v>
      </c>
      <c r="Q4" s="305">
        <f>SUM(Monat!Q4,Monat!Q20,Monat!Q36,Monat!Q52,Monat!Q68,Monat!Q84,Monat!Q100+Monat!Q116,Monat!Q132,Monat!Q148,Monat!Q164,Monat!Q180)</f>
        <v>0</v>
      </c>
      <c r="R4" s="306">
        <f>SUM(Monat!R4,Monat!R20,Monat!R36,Monat!R52,Monat!R68,Monat!R84,Monat!R100+Monat!R116,Monat!R132,Monat!R148,Monat!R164,Monat!R180)</f>
        <v>0</v>
      </c>
      <c r="S4" s="305">
        <f>SUM(Monat!S4,Monat!S20,Monat!S36,Monat!S52,Monat!S68,Monat!S84,Monat!S100+Monat!S116,Monat!S132,Monat!S148,Monat!S164,Monat!S180)</f>
        <v>8</v>
      </c>
    </row>
    <row r="5" ht="12.75" customHeight="1">
      <c r="B5" s="304" t="str">
        <f>Dienstplan!B9</f>
        <v>Siebert</v>
      </c>
      <c r="C5" s="305">
        <f>SUM(Monat!C5,Monat!C21,Monat!C37,Monat!C53,Monat!C69,Monat!C85,Monat!C101+Monat!C117,Monat!C133,Monat!C149,Monat!C165,Monat!C181)</f>
        <v>7</v>
      </c>
      <c r="D5" s="302">
        <f>SUM(Monat!D5,Monat!D21,Monat!D37,Monat!D53,Monat!D69,Monat!D85,Monat!D101+Monat!D117,Monat!D133,Monat!D149,Monat!D165,Monat!D181)</f>
        <v>5</v>
      </c>
      <c r="E5" s="305">
        <f>SUM(Monat!E5,Monat!E21,Monat!E37,Monat!E53,Monat!E69,Monat!E85,Monat!E101+Monat!E117,Monat!E133,Monat!E149,Monat!E165,Monat!E181)</f>
        <v>25</v>
      </c>
      <c r="F5" s="302">
        <f>SUM(Monat!F5,Monat!F21,Monat!F37,Monat!F53,Monat!F69,Monat!F85,Monat!F101+Monat!F117,Monat!F133,Monat!F149,Monat!F165,Monat!F181)</f>
        <v>49</v>
      </c>
      <c r="G5" s="302">
        <f>SUM(Monat!G5,Monat!G21,Monat!G37,Monat!G53,Monat!G69,Monat!G85,Monat!G101+Monat!G117,Monat!G133,Monat!G149,Monat!G165,Monat!G181)</f>
        <v>0</v>
      </c>
      <c r="H5" s="302">
        <f>SUM(Monat!H5,Monat!H21,Monat!H37,Monat!H53,Monat!H69,Monat!H85,Monat!H101+Monat!H117,Monat!H133,Monat!H149,Monat!H165,Monat!H181)</f>
        <v>0</v>
      </c>
      <c r="I5" s="305">
        <f>SUM(Monat!I5,Monat!I21,Monat!I37,Monat!I53,Monat!I69,Monat!I85,Monat!I101+Monat!I117,Monat!I133,Monat!I149,Monat!I165,Monat!I181)</f>
        <v>0</v>
      </c>
      <c r="J5" s="302">
        <f>SUM(Monat!J5,Monat!J21,Monat!J37,Monat!J53,Monat!J69,Monat!J85,Monat!J101+Monat!J117,Monat!J133,Monat!J149,Monat!J165,Monat!J181)</f>
        <v>0</v>
      </c>
      <c r="K5" s="305">
        <f>SUM(Monat!K5,Monat!K21,Monat!K37,Monat!K53,Monat!K69,Monat!K85,Monat!K101+Monat!K117,Monat!K133,Monat!K149,Monat!K165,Monat!K181)</f>
        <v>42</v>
      </c>
      <c r="L5" s="306">
        <f>SUM(Monat!L5,Monat!L21,Monat!L37,Monat!L53,Monat!L69,Monat!L85,Monat!L101+Monat!L117,Monat!L133,Monat!L149,Monat!L165,Monat!L181)</f>
        <v>1</v>
      </c>
      <c r="M5" s="305">
        <f>SUM(Monat!M5,Monat!M21,Monat!M37,Monat!M53,Monat!M69,Monat!M85,Monat!M101+Monat!M117,Monat!M133,Monat!M149,Monat!M165,Monat!M181)</f>
        <v>0</v>
      </c>
      <c r="N5" s="302">
        <f>SUM(Monat!N5,Monat!N21,Monat!N37,Monat!N53,Monat!N69,Monat!N85,Monat!N101+Monat!N117,Monat!N133,Monat!N149,Monat!N165,Monat!N181)</f>
        <v>0</v>
      </c>
      <c r="O5" s="305">
        <f>SUM(Monat!O5,Monat!O21,Monat!O37,Monat!O53,Monat!O69,Monat!O85,Monat!O101+Monat!O117,Monat!O133,Monat!O149,Monat!O165,Monat!O181)</f>
        <v>2</v>
      </c>
      <c r="P5" s="306">
        <f>SUM(Monat!P5,Monat!P21,Monat!P37,Monat!P53,Monat!P69,Monat!P85,Monat!P101+Monat!P117,Monat!P133,Monat!P149,Monat!P165,Monat!P181)</f>
        <v>1</v>
      </c>
      <c r="Q5" s="305">
        <f>SUM(Monat!Q5,Monat!Q21,Monat!Q37,Monat!Q53,Monat!Q69,Monat!Q85,Monat!Q101+Monat!Q117,Monat!Q133,Monat!Q149,Monat!Q165,Monat!Q181)</f>
        <v>0</v>
      </c>
      <c r="R5" s="306">
        <f>SUM(Monat!R5,Monat!R21,Monat!R37,Monat!R53,Monat!R69,Monat!R85,Monat!R101+Monat!R117,Monat!R133,Monat!R149,Monat!R165,Monat!R181)</f>
        <v>0</v>
      </c>
      <c r="S5" s="305">
        <f>SUM(Monat!S5,Monat!S21,Monat!S37,Monat!S53,Monat!S69,Monat!S85,Monat!S101+Monat!S117,Monat!S133,Monat!S149,Monat!S165,Monat!S181)</f>
        <v>10</v>
      </c>
    </row>
    <row r="6" ht="12.75" customHeight="1">
      <c r="B6" s="304" t="str">
        <f>Dienstplan!B10</f>
        <v>Jochim</v>
      </c>
      <c r="C6" s="305">
        <f>SUM(Monat!C6,Monat!C22,Monat!C38,Monat!C54,Monat!C70,Monat!C86,Monat!C102+Monat!C118,Monat!C134,Monat!C150,Monat!C166,Monat!C182)</f>
        <v>5</v>
      </c>
      <c r="D6" s="302">
        <f>SUM(Monat!D6,Monat!D22,Monat!D38,Monat!D54,Monat!D70,Monat!D86,Monat!D102+Monat!D118,Monat!D134,Monat!D150,Monat!D166,Monat!D182)</f>
        <v>0</v>
      </c>
      <c r="E6" s="305">
        <f>SUM(Monat!E6,Monat!E22,Monat!E38,Monat!E54,Monat!E70,Monat!E86,Monat!E102+Monat!E118,Monat!E134,Monat!E150,Monat!E166,Monat!E182)</f>
        <v>0</v>
      </c>
      <c r="F6" s="302">
        <f>SUM(Monat!F6,Monat!F22,Monat!F38,Monat!F54,Monat!F70,Monat!F86,Monat!F102+Monat!F118,Monat!F134,Monat!F150,Monat!F166,Monat!F182)</f>
        <v>0</v>
      </c>
      <c r="G6" s="302">
        <f>SUM(Monat!G6,Monat!G22,Monat!G38,Monat!G54,Monat!G70,Monat!G86,Monat!G102+Monat!G118,Monat!G134,Monat!G150,Monat!G166,Monat!G182)</f>
        <v>8</v>
      </c>
      <c r="H6" s="302">
        <f>SUM(Monat!H6,Monat!H22,Monat!H38,Monat!H54,Monat!H70,Monat!H86,Monat!H102+Monat!H118,Monat!H134,Monat!H150,Monat!H166,Monat!H182)</f>
        <v>5</v>
      </c>
      <c r="I6" s="305">
        <f>SUM(Monat!I6,Monat!I22,Monat!I38,Monat!I54,Monat!I70,Monat!I86,Monat!I102+Monat!I118,Monat!I134,Monat!I150,Monat!I166,Monat!I182)</f>
        <v>1</v>
      </c>
      <c r="J6" s="302">
        <f>SUM(Monat!J6,Monat!J22,Monat!J38,Monat!J54,Monat!J70,Monat!J86,Monat!J102+Monat!J118,Monat!J134,Monat!J150,Monat!J166,Monat!J182)</f>
        <v>0</v>
      </c>
      <c r="K6" s="305">
        <f>SUM(Monat!K6,Monat!K22,Monat!K38,Monat!K54,Monat!K70,Monat!K86,Monat!K102+Monat!K118,Monat!K134,Monat!K150,Monat!K166,Monat!K182)</f>
        <v>0</v>
      </c>
      <c r="L6" s="306">
        <f>SUM(Monat!L6,Monat!L22,Monat!L38,Monat!L54,Monat!L70,Monat!L86,Monat!L102+Monat!L118,Monat!L134,Monat!L150,Monat!L166,Monat!L182)</f>
        <v>0</v>
      </c>
      <c r="M6" s="305">
        <f>SUM(Monat!M6,Monat!M22,Monat!M38,Monat!M54,Monat!M70,Monat!M86,Monat!M102+Monat!M118,Monat!M134,Monat!M150,Monat!M166,Monat!M182)</f>
        <v>0</v>
      </c>
      <c r="N6" s="302">
        <f>SUM(Monat!N6,Monat!N22,Monat!N38,Monat!N54,Monat!N70,Monat!N86,Monat!N102+Monat!N118,Monat!N134,Monat!N150,Monat!N166,Monat!N182)</f>
        <v>0</v>
      </c>
      <c r="O6" s="305">
        <f>SUM(Monat!O6,Monat!O22,Monat!O38,Monat!O54,Monat!O70,Monat!O86,Monat!O102+Monat!O118,Monat!O134,Monat!O150,Monat!O166,Monat!O182)</f>
        <v>0</v>
      </c>
      <c r="P6" s="306">
        <f>SUM(Monat!P6,Monat!P22,Monat!P38,Monat!P54,Monat!P70,Monat!P86,Monat!P102+Monat!P118,Monat!P134,Monat!P150,Monat!P166,Monat!P182)</f>
        <v>0</v>
      </c>
      <c r="Q6" s="305">
        <f>SUM(Monat!Q6,Monat!Q22,Monat!Q38,Monat!Q54,Monat!Q70,Monat!Q86,Monat!Q102+Monat!Q118,Monat!Q134,Monat!Q150,Monat!Q166,Monat!Q182)</f>
        <v>0</v>
      </c>
      <c r="R6" s="306">
        <f>SUM(Monat!R6,Monat!R22,Monat!R38,Monat!R54,Monat!R70,Monat!R86,Monat!R102+Monat!R118,Monat!R134,Monat!R150,Monat!R166,Monat!R182)</f>
        <v>0</v>
      </c>
      <c r="S6" s="305">
        <f>SUM(Monat!S6,Monat!S22,Monat!S38,Monat!S54,Monat!S70,Monat!S86,Monat!S102+Monat!S118,Monat!S134,Monat!S150,Monat!S166,Monat!S182)</f>
        <v>0</v>
      </c>
    </row>
    <row r="7" ht="12.75" customHeight="1">
      <c r="B7" s="304" t="str">
        <f>Dienstplan!B11</f>
        <v>Wunsch</v>
      </c>
      <c r="C7" s="305">
        <f>SUM(Monat!C7,Monat!C23,Monat!C39,Monat!C55,Monat!C71,Monat!C87,Monat!C103+Monat!C119,Monat!C135,Monat!C151,Monat!C167,Monat!C183)</f>
        <v>8</v>
      </c>
      <c r="D7" s="302">
        <f>SUM(Monat!D7,Monat!D23,Monat!D39,Monat!D55,Monat!D71,Monat!D87,Monat!D103+Monat!D119,Monat!D135,Monat!D151,Monat!D167,Monat!D183)</f>
        <v>2</v>
      </c>
      <c r="E7" s="305">
        <f>SUM(Monat!E7,Monat!E23,Monat!E39,Monat!E55,Monat!E71,Monat!E87,Monat!E103+Monat!E119,Monat!E135,Monat!E151,Monat!E167,Monat!E183)</f>
        <v>12</v>
      </c>
      <c r="F7" s="302">
        <f>SUM(Monat!F7,Monat!F23,Monat!F39,Monat!F55,Monat!F71,Monat!F87,Monat!F103+Monat!F119,Monat!F135,Monat!F151,Monat!F167,Monat!F183)</f>
        <v>43</v>
      </c>
      <c r="G7" s="302">
        <f>SUM(Monat!G7,Monat!G23,Monat!G39,Monat!G55,Monat!G71,Monat!G87,Monat!G103+Monat!G119,Monat!G135,Monat!G151,Monat!G167,Monat!G183)</f>
        <v>4</v>
      </c>
      <c r="H7" s="302">
        <f>SUM(Monat!H7,Monat!H23,Monat!H39,Monat!H55,Monat!H71,Monat!H87,Monat!H103+Monat!H119,Monat!H135,Monat!H151,Monat!H167,Monat!H183)</f>
        <v>0</v>
      </c>
      <c r="I7" s="305">
        <f>SUM(Monat!I7,Monat!I23,Monat!I39,Monat!I55,Monat!I71,Monat!I87,Monat!I103+Monat!I119,Monat!I135,Monat!I151,Monat!I167,Monat!I183)</f>
        <v>5</v>
      </c>
      <c r="J7" s="302">
        <f>SUM(Monat!J7,Monat!J23,Monat!J39,Monat!J55,Monat!J71,Monat!J87,Monat!J103+Monat!J119,Monat!J135,Monat!J151,Monat!J167,Monat!J183)</f>
        <v>1</v>
      </c>
      <c r="K7" s="305">
        <f>SUM(Monat!K7,Monat!K23,Monat!K39,Monat!K55,Monat!K71,Monat!K87,Monat!K103+Monat!K119,Monat!K135,Monat!K151,Monat!K167,Monat!K183)</f>
        <v>42</v>
      </c>
      <c r="L7" s="306">
        <f>SUM(Monat!L7,Monat!L23,Monat!L39,Monat!L55,Monat!L71,Monat!L87,Monat!L103+Monat!L119,Monat!L135,Monat!L151,Monat!L167,Monat!L183)</f>
        <v>4</v>
      </c>
      <c r="M7" s="305">
        <f>SUM(Monat!M7,Monat!M23,Monat!M39,Monat!M55,Monat!M71,Monat!M87,Monat!M103+Monat!M119,Monat!M135,Monat!M151,Monat!M167,Monat!M183)</f>
        <v>0</v>
      </c>
      <c r="N7" s="302">
        <f>SUM(Monat!N7,Monat!N23,Monat!N39,Monat!N55,Monat!N71,Monat!N87,Monat!N103+Monat!N119,Monat!N135,Monat!N151,Monat!N167,Monat!N183)</f>
        <v>0</v>
      </c>
      <c r="O7" s="305">
        <f>SUM(Monat!O7,Monat!O23,Monat!O39,Monat!O55,Monat!O71,Monat!O87,Monat!O103+Monat!O119,Monat!O135,Monat!O151,Monat!O167,Monat!O183)</f>
        <v>6</v>
      </c>
      <c r="P7" s="306">
        <f>SUM(Monat!P7,Monat!P23,Monat!P39,Monat!P55,Monat!P71,Monat!P87,Monat!P103+Monat!P119,Monat!P135,Monat!P151,Monat!P167,Monat!P183)</f>
        <v>0</v>
      </c>
      <c r="Q7" s="305">
        <f>SUM(Monat!Q7,Monat!Q23,Monat!Q39,Monat!Q55,Monat!Q71,Monat!Q87,Monat!Q103+Monat!Q119,Monat!Q135,Monat!Q151,Monat!Q167,Monat!Q183)</f>
        <v>0</v>
      </c>
      <c r="R7" s="306">
        <f>SUM(Monat!R7,Monat!R23,Monat!R39,Monat!R55,Monat!R71,Monat!R87,Monat!R103+Monat!R119,Monat!R135,Monat!R151,Monat!R167,Monat!R183)</f>
        <v>0</v>
      </c>
      <c r="S7" s="305">
        <f>SUM(Monat!S7,Monat!S23,Monat!S39,Monat!S55,Monat!S71,Monat!S87,Monat!S103+Monat!S119,Monat!S135,Monat!S151,Monat!S167,Monat!S183)</f>
        <v>9</v>
      </c>
    </row>
    <row r="8" ht="12.75" customHeight="1">
      <c r="B8" s="304" t="str">
        <f>Dienstplan!B12</f>
        <v>Göpfrich</v>
      </c>
      <c r="C8" s="305">
        <f>SUM(Monat!C8,Monat!C24,Monat!C40,Monat!C56,Monat!C72,Monat!C88,Monat!C104+Monat!C120,Monat!C136,Monat!C152,Monat!C168,Monat!C184)</f>
        <v>5</v>
      </c>
      <c r="D8" s="302">
        <f>SUM(Monat!D8,Monat!D24,Monat!D40,Monat!D56,Monat!D72,Monat!D88,Monat!D104+Monat!D120,Monat!D136,Monat!D152,Monat!D168,Monat!D184)</f>
        <v>0</v>
      </c>
      <c r="E8" s="305">
        <f>SUM(Monat!E8,Monat!E24,Monat!E40,Monat!E56,Monat!E72,Monat!E88,Monat!E104+Monat!E120,Monat!E136,Monat!E152,Monat!E168,Monat!E184)</f>
        <v>31</v>
      </c>
      <c r="F8" s="302">
        <f>SUM(Monat!F8,Monat!F24,Monat!F40,Monat!F56,Monat!F72,Monat!F88,Monat!F104+Monat!F120,Monat!F136,Monat!F152,Monat!F168,Monat!F184)</f>
        <v>47</v>
      </c>
      <c r="G8" s="302">
        <f>SUM(Monat!G8,Monat!G24,Monat!G40,Monat!G56,Monat!G72,Monat!G88,Monat!G104+Monat!G120,Monat!G136,Monat!G152,Monat!G168,Monat!G184)</f>
        <v>5</v>
      </c>
      <c r="H8" s="302">
        <f>SUM(Monat!H8,Monat!H24,Monat!H40,Monat!H56,Monat!H72,Monat!H88,Monat!H104+Monat!H120,Monat!H136,Monat!H152,Monat!H168,Monat!H184)</f>
        <v>0</v>
      </c>
      <c r="I8" s="305">
        <f>SUM(Monat!I8,Monat!I24,Monat!I40,Monat!I56,Monat!I72,Monat!I88,Monat!I104+Monat!I120,Monat!I136,Monat!I152,Monat!I168,Monat!I184)</f>
        <v>2</v>
      </c>
      <c r="J8" s="302">
        <f>SUM(Monat!J8,Monat!J24,Monat!J40,Monat!J56,Monat!J72,Monat!J88,Monat!J104+Monat!J120,Monat!J136,Monat!J152,Monat!J168,Monat!J184)</f>
        <v>2</v>
      </c>
      <c r="K8" s="305">
        <f>SUM(Monat!K8,Monat!K24,Monat!K40,Monat!K56,Monat!K72,Monat!K88,Monat!K104+Monat!K120,Monat!K136,Monat!K152,Monat!K168,Monat!K184)</f>
        <v>36</v>
      </c>
      <c r="L8" s="306">
        <f>SUM(Monat!L8,Monat!L24,Monat!L40,Monat!L56,Monat!L72,Monat!L88,Monat!L104+Monat!L120,Monat!L136,Monat!L152,Monat!L168,Monat!L184)</f>
        <v>1</v>
      </c>
      <c r="M8" s="305">
        <f>SUM(Monat!M8,Monat!M24,Monat!M40,Monat!M56,Monat!M72,Monat!M88,Monat!M104+Monat!M120,Monat!M136,Monat!M152,Monat!M168,Monat!M184)</f>
        <v>0</v>
      </c>
      <c r="N8" s="302">
        <f>SUM(Monat!N8,Monat!N24,Monat!N40,Monat!N56,Monat!N72,Monat!N88,Monat!N104+Monat!N120,Monat!N136,Monat!N152,Monat!N168,Monat!N184)</f>
        <v>0</v>
      </c>
      <c r="O8" s="305">
        <f>SUM(Monat!O8,Monat!O24,Monat!O40,Monat!O56,Monat!O72,Monat!O88,Monat!O104+Monat!O120,Monat!O136,Monat!O152,Monat!O168,Monat!O184)</f>
        <v>5</v>
      </c>
      <c r="P8" s="306">
        <f>SUM(Monat!P8,Monat!P24,Monat!P40,Monat!P56,Monat!P72,Monat!P88,Monat!P104+Monat!P120,Monat!P136,Monat!P152,Monat!P168,Monat!P184)</f>
        <v>2</v>
      </c>
      <c r="Q8" s="305">
        <f>SUM(Monat!Q8,Monat!Q24,Monat!Q40,Monat!Q56,Monat!Q72,Monat!Q88,Monat!Q104+Monat!Q120,Monat!Q136,Monat!Q152,Monat!Q168,Monat!Q184)</f>
        <v>0</v>
      </c>
      <c r="R8" s="306">
        <f>SUM(Monat!R8,Monat!R24,Monat!R40,Monat!R56,Monat!R72,Monat!R88,Monat!R104+Monat!R120,Monat!R136,Monat!R152,Monat!R168,Monat!R184)</f>
        <v>0</v>
      </c>
      <c r="S8" s="305">
        <f>SUM(Monat!S8,Monat!S24,Monat!S40,Monat!S56,Monat!S72,Monat!S88,Monat!S104+Monat!S120,Monat!S136,Monat!S152,Monat!S168,Monat!S184)</f>
        <v>8</v>
      </c>
    </row>
    <row r="9" ht="12.75" customHeight="1">
      <c r="B9" s="304" t="str">
        <f>Dienstplan!B13</f>
        <v>Zeller</v>
      </c>
      <c r="C9" s="305">
        <f>SUM(Monat!C9,Monat!C25,Monat!C41,Monat!C57,Monat!C73,Monat!C89,Monat!C105+Monat!C121,Monat!C137,Monat!C153,Monat!C169,Monat!C185)</f>
        <v>19</v>
      </c>
      <c r="D9" s="302">
        <f>SUM(Monat!D9,Monat!D25,Monat!D41,Monat!D57,Monat!D73,Monat!D89,Monat!D105+Monat!D121,Monat!D137,Monat!D153,Monat!D169,Monat!D185)</f>
        <v>4</v>
      </c>
      <c r="E9" s="305">
        <f>SUM(Monat!E9,Monat!E25,Monat!E41,Monat!E57,Monat!E73,Monat!E89,Monat!E105+Monat!E121,Monat!E137,Monat!E153,Monat!E169,Monat!E185)</f>
        <v>13</v>
      </c>
      <c r="F9" s="302">
        <f>SUM(Monat!F9,Monat!F25,Monat!F41,Monat!F57,Monat!F73,Monat!F89,Monat!F105+Monat!F121,Monat!F137,Monat!F153,Monat!F169,Monat!F185)</f>
        <v>34</v>
      </c>
      <c r="G9" s="302">
        <f>SUM(Monat!G9,Monat!G25,Monat!G41,Monat!G57,Monat!G73,Monat!G89,Monat!G105+Monat!G121,Monat!G137,Monat!G153,Monat!G169,Monat!G185)</f>
        <v>8</v>
      </c>
      <c r="H9" s="302">
        <f>SUM(Monat!H9,Monat!H25,Monat!H41,Monat!H57,Monat!H73,Monat!H89,Monat!H105+Monat!H121,Monat!H137,Monat!H153,Monat!H169,Monat!H185)</f>
        <v>0</v>
      </c>
      <c r="I9" s="305">
        <f>SUM(Monat!I9,Monat!I25,Monat!I41,Monat!I57,Monat!I73,Monat!I89,Monat!I105+Monat!I121,Monat!I137,Monat!I153,Monat!I169,Monat!I185)</f>
        <v>0</v>
      </c>
      <c r="J9" s="302">
        <f>SUM(Monat!J9,Monat!J25,Monat!J41,Monat!J57,Monat!J73,Monat!J89,Monat!J105+Monat!J121,Monat!J137,Monat!J153,Monat!J169,Monat!J185)</f>
        <v>3</v>
      </c>
      <c r="K9" s="305">
        <f>SUM(Monat!K9,Monat!K25,Monat!K41,Monat!K57,Monat!K73,Monat!K89,Monat!K105+Monat!K121,Monat!K137,Monat!K153,Monat!K169,Monat!K185)</f>
        <v>35</v>
      </c>
      <c r="L9" s="306">
        <f>SUM(Monat!L9,Monat!L25,Monat!L41,Monat!L57,Monat!L73,Monat!L89,Monat!L105+Monat!L121,Monat!L137,Monat!L153,Monat!L169,Monat!L185)</f>
        <v>0</v>
      </c>
      <c r="M9" s="305">
        <f>SUM(Monat!M9,Monat!M25,Monat!M41,Monat!M57,Monat!M73,Monat!M89,Monat!M105+Monat!M121,Monat!M137,Monat!M153,Monat!M169,Monat!M185)</f>
        <v>0</v>
      </c>
      <c r="N9" s="302">
        <f>SUM(Monat!N9,Monat!N25,Monat!N41,Monat!N57,Monat!N73,Monat!N89,Monat!N105+Monat!N121,Monat!N137,Monat!N153,Monat!N169,Monat!N185)</f>
        <v>0</v>
      </c>
      <c r="O9" s="305">
        <f>SUM(Monat!O9,Monat!O25,Monat!O41,Monat!O57,Monat!O73,Monat!O89,Monat!O105+Monat!O121,Monat!O137,Monat!O153,Monat!O169,Monat!O185)</f>
        <v>5</v>
      </c>
      <c r="P9" s="306">
        <f>SUM(Monat!P9,Monat!P25,Monat!P41,Monat!P57,Monat!P73,Monat!P89,Monat!P105+Monat!P121,Monat!P137,Monat!P153,Monat!P169,Monat!P185)</f>
        <v>1</v>
      </c>
      <c r="Q9" s="305">
        <f>SUM(Monat!Q9,Monat!Q25,Monat!Q41,Monat!Q57,Monat!Q73,Monat!Q89,Monat!Q105+Monat!Q121,Monat!Q137,Monat!Q153,Monat!Q169,Monat!Q185)</f>
        <v>0</v>
      </c>
      <c r="R9" s="306">
        <f>SUM(Monat!R9,Monat!R25,Monat!R41,Monat!R57,Monat!R73,Monat!R89,Monat!R105+Monat!R121,Monat!R137,Monat!R153,Monat!R169,Monat!R185)</f>
        <v>0</v>
      </c>
      <c r="S9" s="305">
        <f>SUM(Monat!S9,Monat!S25,Monat!S41,Monat!S57,Monat!S73,Monat!S89,Monat!S105+Monat!S121,Monat!S137,Monat!S153,Monat!S169,Monat!S185)</f>
        <v>8</v>
      </c>
    </row>
    <row r="10" ht="12.75" customHeight="1">
      <c r="B10" s="304" t="str">
        <f>Dienstplan!B14</f>
        <v>Behrendt</v>
      </c>
      <c r="C10" s="305">
        <f>SUM(Monat!C10,Monat!C26,Monat!C42,Monat!C58,Monat!C74,Monat!C90,Monat!C106+Monat!C122,Monat!C138,Monat!C154,Monat!C170,Monat!C186)</f>
        <v>5</v>
      </c>
      <c r="D10" s="302">
        <f>SUM(Monat!D10,Monat!D26,Monat!D42,Monat!D58,Monat!D74,Monat!D90,Monat!D106+Monat!D122,Monat!D138,Monat!D154,Monat!D170,Monat!D186)</f>
        <v>13</v>
      </c>
      <c r="E10" s="305">
        <f>SUM(Monat!E10,Monat!E26,Monat!E42,Monat!E58,Monat!E74,Monat!E90,Monat!E106+Monat!E122,Monat!E138,Monat!E154,Monat!E170,Monat!E186)</f>
        <v>18</v>
      </c>
      <c r="F10" s="302">
        <f>SUM(Monat!F10,Monat!F26,Monat!F42,Monat!F58,Monat!F74,Monat!F90,Monat!F106+Monat!F122,Monat!F138,Monat!F154,Monat!F170,Monat!F186)</f>
        <v>40</v>
      </c>
      <c r="G10" s="302">
        <f>SUM(Monat!G10,Monat!G26,Monat!G42,Monat!G58,Monat!G74,Monat!G90,Monat!G106+Monat!G122,Monat!G138,Monat!G154,Monat!G170,Monat!G186)</f>
        <v>0</v>
      </c>
      <c r="H10" s="302">
        <f>SUM(Monat!H10,Monat!H26,Monat!H42,Monat!H58,Monat!H74,Monat!H90,Monat!H106+Monat!H122,Monat!H138,Monat!H154,Monat!H170,Monat!H186)</f>
        <v>0</v>
      </c>
      <c r="I10" s="305">
        <f>SUM(Monat!I10,Monat!I26,Monat!I42,Monat!I58,Monat!I74,Monat!I90,Monat!I106+Monat!I122,Monat!I138,Monat!I154,Monat!I170,Monat!I186)</f>
        <v>0</v>
      </c>
      <c r="J10" s="302">
        <f>SUM(Monat!J10,Monat!J26,Monat!J42,Monat!J58,Monat!J74,Monat!J90,Monat!J106+Monat!J122,Monat!J138,Monat!J154,Monat!J170,Monat!J186)</f>
        <v>1</v>
      </c>
      <c r="K10" s="305">
        <f>SUM(Monat!K10,Monat!K26,Monat!K42,Monat!K58,Monat!K74,Monat!K90,Monat!K106+Monat!K122,Monat!K138,Monat!K154,Monat!K170,Monat!K186)</f>
        <v>10</v>
      </c>
      <c r="L10" s="306">
        <f>SUM(Monat!L10,Monat!L26,Monat!L42,Monat!L58,Monat!L74,Monat!L90,Monat!L106+Monat!L122,Monat!L138,Monat!L154,Monat!L170,Monat!L186)</f>
        <v>0</v>
      </c>
      <c r="M10" s="305">
        <f>SUM(Monat!M10,Monat!M26,Monat!M42,Monat!M58,Monat!M74,Monat!M90,Monat!M106+Monat!M122,Monat!M138,Monat!M154,Monat!M170,Monat!M186)</f>
        <v>0</v>
      </c>
      <c r="N10" s="302">
        <f>SUM(Monat!N10,Monat!N26,Monat!N42,Monat!N58,Monat!N74,Monat!N90,Monat!N106+Monat!N122,Monat!N138,Monat!N154,Monat!N170,Monat!N186)</f>
        <v>0</v>
      </c>
      <c r="O10" s="305">
        <f>SUM(Monat!O10,Monat!O26,Monat!O42,Monat!O58,Monat!O74,Monat!O90,Monat!O106+Monat!O122,Monat!O138,Monat!O154,Monat!O170,Monat!O186)</f>
        <v>5</v>
      </c>
      <c r="P10" s="306">
        <f>SUM(Monat!P10,Monat!P26,Monat!P42,Monat!P58,Monat!P74,Monat!P90,Monat!P106+Monat!P122,Monat!P138,Monat!P154,Monat!P170,Monat!P186)</f>
        <v>1</v>
      </c>
      <c r="Q10" s="305">
        <f>SUM(Monat!Q10,Monat!Q26,Monat!Q42,Monat!Q58,Monat!Q74,Monat!Q90,Monat!Q106+Monat!Q122,Monat!Q138,Monat!Q154,Monat!Q170,Monat!Q186)</f>
        <v>0</v>
      </c>
      <c r="R10" s="306">
        <f>SUM(Monat!R10,Monat!R26,Monat!R42,Monat!R58,Monat!R74,Monat!R90,Monat!R106+Monat!R122,Monat!R138,Monat!R154,Monat!R170,Monat!R186)</f>
        <v>0</v>
      </c>
      <c r="S10" s="305">
        <f>SUM(Monat!S10,Monat!S26,Monat!S42,Monat!S58,Monat!S74,Monat!S90,Monat!S106+Monat!S122,Monat!S138,Monat!S154,Monat!S170,Monat!S186)</f>
        <v>8</v>
      </c>
    </row>
    <row r="11" ht="12.75" customHeight="1">
      <c r="B11" s="304" t="str">
        <f>Dienstplan!B15</f>
        <v>Krempl</v>
      </c>
      <c r="C11" s="305">
        <f>SUM(Monat!C11,Monat!C27,Monat!C43,Monat!C59,Monat!C75,Monat!C91,Monat!C107+Monat!C123,Monat!C139,Monat!C155,Monat!C171,Monat!C187)</f>
        <v>0</v>
      </c>
      <c r="D11" s="302">
        <f>SUM(Monat!D11,Monat!D27,Monat!D43,Monat!D59,Monat!D75,Monat!D91,Monat!D107+Monat!D123,Monat!D139,Monat!D155,Monat!D171,Monat!D187)</f>
        <v>1</v>
      </c>
      <c r="E11" s="305">
        <f>SUM(Monat!E11,Monat!E27,Monat!E43,Monat!E59,Monat!E75,Monat!E91,Monat!E107+Monat!E123,Monat!E139,Monat!E155,Monat!E171,Monat!E187)</f>
        <v>0</v>
      </c>
      <c r="F11" s="302">
        <f>SUM(Monat!F11,Monat!F27,Monat!F43,Monat!F59,Monat!F75,Monat!F91,Monat!F107+Monat!F123,Monat!F139,Monat!F155,Monat!F171,Monat!F187)</f>
        <v>0</v>
      </c>
      <c r="G11" s="302">
        <f>SUM(Monat!G11,Monat!G27,Monat!G43,Monat!G59,Monat!G75,Monat!G91,Monat!G107+Monat!G123,Monat!G139,Monat!G155,Monat!G171,Monat!G187)</f>
        <v>14</v>
      </c>
      <c r="H11" s="302">
        <f>SUM(Monat!H11,Monat!H27,Monat!H43,Monat!H59,Monat!H75,Monat!H91,Monat!H107+Monat!H123,Monat!H139,Monat!H155,Monat!H171,Monat!H187)</f>
        <v>0</v>
      </c>
      <c r="I11" s="305">
        <f>SUM(Monat!I11,Monat!I27,Monat!I43,Monat!I59,Monat!I75,Monat!I91,Monat!I107+Monat!I123,Monat!I139,Monat!I155,Monat!I171,Monat!I187)</f>
        <v>1</v>
      </c>
      <c r="J11" s="302">
        <f>SUM(Monat!J11,Monat!J27,Monat!J43,Monat!J59,Monat!J75,Monat!J91,Monat!J107+Monat!J123,Monat!J139,Monat!J155,Monat!J171,Monat!J187)</f>
        <v>25</v>
      </c>
      <c r="K11" s="305">
        <f>SUM(Monat!K11,Monat!K27,Monat!K43,Monat!K59,Monat!K75,Monat!K91,Monat!K107+Monat!K123,Monat!K139,Monat!K155,Monat!K171,Monat!K187)</f>
        <v>40</v>
      </c>
      <c r="L11" s="306">
        <f>SUM(Monat!L11,Monat!L27,Monat!L43,Monat!L59,Monat!L75,Monat!L91,Monat!L107+Monat!L123,Monat!L139,Monat!L155,Monat!L171,Monat!L187)</f>
        <v>2</v>
      </c>
      <c r="M11" s="305">
        <f>SUM(Monat!M11,Monat!M27,Monat!M43,Monat!M59,Monat!M75,Monat!M91,Monat!M107+Monat!M123,Monat!M139,Monat!M155,Monat!M171,Monat!M187)</f>
        <v>0</v>
      </c>
      <c r="N11" s="302">
        <f>SUM(Monat!N11,Monat!N27,Monat!N43,Monat!N59,Monat!N75,Monat!N91,Monat!N107+Monat!N123,Monat!N139,Monat!N155,Monat!N171,Monat!N187)</f>
        <v>0</v>
      </c>
      <c r="O11" s="305">
        <f>SUM(Monat!O11,Monat!O27,Monat!O43,Monat!O59,Monat!O75,Monat!O91,Monat!O107+Monat!O123,Monat!O139,Monat!O155,Monat!O171,Monat!O187)</f>
        <v>5</v>
      </c>
      <c r="P11" s="306">
        <f>SUM(Monat!P11,Monat!P27,Monat!P43,Monat!P59,Monat!P75,Monat!P91,Monat!P107+Monat!P123,Monat!P139,Monat!P155,Monat!P171,Monat!P187)</f>
        <v>2</v>
      </c>
      <c r="Q11" s="305">
        <f>SUM(Monat!Q11,Monat!Q27,Monat!Q43,Monat!Q59,Monat!Q75,Monat!Q91,Monat!Q107+Monat!Q123,Monat!Q139,Monat!Q155,Monat!Q171,Monat!Q187)</f>
        <v>0</v>
      </c>
      <c r="R11" s="306">
        <f>SUM(Monat!R11,Monat!R27,Monat!R43,Monat!R59,Monat!R75,Monat!R91,Monat!R107+Monat!R123,Monat!R139,Monat!R155,Monat!R171,Monat!R187)</f>
        <v>0</v>
      </c>
      <c r="S11" s="305">
        <f>SUM(Monat!S11,Monat!S27,Monat!S43,Monat!S59,Monat!S75,Monat!S91,Monat!S107+Monat!S123,Monat!S139,Monat!S155,Monat!S171,Monat!S187)</f>
        <v>1</v>
      </c>
    </row>
    <row r="12" ht="12.75" customHeight="1">
      <c r="B12" s="304" t="str">
        <f>Dienstplan!B16</f>
        <v>Putschler</v>
      </c>
      <c r="C12" s="305">
        <f>SUM(Monat!C12,Monat!C28,Monat!C44,Monat!C60,Monat!C76,Monat!C92,Monat!C108+Monat!C124,Monat!C140,Monat!C156,Monat!C172,Monat!C188)</f>
        <v>0</v>
      </c>
      <c r="D12" s="302">
        <f>SUM(Monat!D12,Monat!D28,Monat!D44,Monat!D60,Monat!D76,Monat!D92,Monat!D108+Monat!D124,Monat!D140,Monat!D156,Monat!D172,Monat!D188)</f>
        <v>0</v>
      </c>
      <c r="E12" s="305">
        <f>SUM(Monat!E12,Monat!E28,Monat!E44,Monat!E60,Monat!E76,Monat!E92,Monat!E108+Monat!E124,Monat!E140,Monat!E156,Monat!E172,Monat!E188)</f>
        <v>0</v>
      </c>
      <c r="F12" s="302">
        <f>SUM(Monat!F12,Monat!F28,Monat!F44,Monat!F60,Monat!F76,Monat!F92,Monat!F108+Monat!F124,Monat!F140,Monat!F156,Monat!F172,Monat!F188)</f>
        <v>0</v>
      </c>
      <c r="G12" s="302">
        <f>SUM(Monat!G12,Monat!G28,Monat!G44,Monat!G60,Monat!G76,Monat!G92,Monat!G108+Monat!G124,Monat!G140,Monat!G156,Monat!G172,Monat!G188)</f>
        <v>0</v>
      </c>
      <c r="H12" s="302">
        <f>SUM(Monat!H12,Monat!H28,Monat!H44,Monat!H60,Monat!H76,Monat!H92,Monat!H108+Monat!H124,Monat!H140,Monat!H156,Monat!H172,Monat!H188)</f>
        <v>0</v>
      </c>
      <c r="I12" s="305">
        <f>SUM(Monat!I12,Monat!I28,Monat!I44,Monat!I60,Monat!I76,Monat!I92,Monat!I108+Monat!I124,Monat!I140,Monat!I156,Monat!I172,Monat!I188)</f>
        <v>0</v>
      </c>
      <c r="J12" s="302">
        <f>SUM(Monat!J12,Monat!J28,Monat!J44,Monat!J60,Monat!J76,Monat!J92,Monat!J108+Monat!J124,Monat!J140,Monat!J156,Monat!J172,Monat!J188)</f>
        <v>1</v>
      </c>
      <c r="K12" s="305">
        <f>SUM(Monat!K12,Monat!K28,Monat!K44,Monat!K60,Monat!K76,Monat!K92,Monat!K108+Monat!K124,Monat!K140,Monat!K156,Monat!K172,Monat!K188)</f>
        <v>36</v>
      </c>
      <c r="L12" s="306">
        <f>SUM(Monat!L12,Monat!L28,Monat!L44,Monat!L60,Monat!L76,Monat!L92,Monat!L108+Monat!L124,Monat!L140,Monat!L156,Monat!L172,Monat!L188)</f>
        <v>1</v>
      </c>
      <c r="M12" s="305">
        <f>SUM(Monat!M12,Monat!M28,Monat!M44,Monat!M60,Monat!M76,Monat!M92,Monat!M108+Monat!M124,Monat!M140,Monat!M156,Monat!M172,Monat!M188)</f>
        <v>35</v>
      </c>
      <c r="N12" s="302">
        <f>SUM(Monat!N12,Monat!N28,Monat!N44,Monat!N60,Monat!N76,Monat!N92,Monat!N108+Monat!N124,Monat!N140,Monat!N156,Monat!N172,Monat!N188)</f>
        <v>0</v>
      </c>
      <c r="O12" s="305">
        <f>SUM(Monat!O12,Monat!O28,Monat!O44,Monat!O60,Monat!O76,Monat!O92,Monat!O108+Monat!O124,Monat!O140,Monat!O156,Monat!O172,Monat!O188)</f>
        <v>5</v>
      </c>
      <c r="P12" s="306">
        <f>SUM(Monat!P12,Monat!P28,Monat!P44,Monat!P60,Monat!P76,Monat!P92,Monat!P108+Monat!P124,Monat!P140,Monat!P156,Monat!P172,Monat!P188)</f>
        <v>2</v>
      </c>
      <c r="Q12" s="305">
        <f>SUM(Monat!Q12,Monat!Q28,Monat!Q44,Monat!Q60,Monat!Q76,Monat!Q92,Monat!Q108+Monat!Q124,Monat!Q140,Monat!Q156,Monat!Q172,Monat!Q188)</f>
        <v>0</v>
      </c>
      <c r="R12" s="306">
        <f>SUM(Monat!R12,Monat!R28,Monat!R44,Monat!R60,Monat!R76,Monat!R92,Monat!R108+Monat!R124,Monat!R140,Monat!R156,Monat!R172,Monat!R188)</f>
        <v>0</v>
      </c>
      <c r="S12" s="305">
        <f>SUM(Monat!S12,Monat!S28,Monat!S44,Monat!S60,Monat!S76,Monat!S92,Monat!S108+Monat!S124,Monat!S140,Monat!S156,Monat!S172,Monat!S188)</f>
        <v>0</v>
      </c>
    </row>
    <row r="13" ht="12.75" customHeight="1">
      <c r="B13" s="304" t="str">
        <f>Dienstplan!B18</f>
        <v>Schmidt</v>
      </c>
      <c r="C13" s="305">
        <f>SUM(Monat!C13,Monat!C29,Monat!C45,Monat!C61,Monat!C77,Monat!C93,Monat!C109+Monat!C125,Monat!C141,Monat!C157,Monat!C173,Monat!C189)</f>
        <v>0</v>
      </c>
      <c r="D13" s="302">
        <f>SUM(Monat!D13,Monat!D29,Monat!D45,Monat!D61,Monat!D77,Monat!D93,Monat!D109+Monat!D125,Monat!D141,Monat!D157,Monat!D173,Monat!D189)</f>
        <v>0</v>
      </c>
      <c r="E13" s="305">
        <f>SUM(Monat!E13,Monat!E29,Monat!E45,Monat!E61,Monat!E77,Monat!E93,Monat!E109+Monat!E125,Monat!E141,Monat!E157,Monat!E173,Monat!E189)</f>
        <v>0</v>
      </c>
      <c r="F13" s="302">
        <f>SUM(Monat!F13,Monat!F29,Monat!F45,Monat!F61,Monat!F77,Monat!F93,Monat!F109+Monat!F125,Monat!F141,Monat!F157,Monat!F173,Monat!F189)</f>
        <v>0</v>
      </c>
      <c r="G13" s="302">
        <f>SUM(Monat!G13,Monat!G29,Monat!G45,Monat!G61,Monat!G77,Monat!G93,Monat!G109+Monat!G125,Monat!G141,Monat!G157,Monat!G173,Monat!G189)</f>
        <v>0</v>
      </c>
      <c r="H13" s="302">
        <f>SUM(Monat!H13,Monat!H29,Monat!H45,Monat!H61,Monat!H77,Monat!H93,Monat!H109+Monat!H125,Monat!H141,Monat!H157,Monat!H173,Monat!H189)</f>
        <v>0</v>
      </c>
      <c r="I13" s="305">
        <f>SUM(Monat!I13,Monat!I29,Monat!I45,Monat!I61,Monat!I77,Monat!I93,Monat!I109+Monat!I125,Monat!I141,Monat!I157,Monat!I173,Monat!I189)</f>
        <v>0</v>
      </c>
      <c r="J13" s="302">
        <f>SUM(Monat!J13,Monat!J29,Monat!J45,Monat!J61,Monat!J77,Monat!J93,Monat!J109+Monat!J125,Monat!J141,Monat!J157,Monat!J173,Monat!J189)</f>
        <v>0</v>
      </c>
      <c r="K13" s="305">
        <f>SUM(Monat!K13,Monat!K29,Monat!K45,Monat!K61,Monat!K77,Monat!K93,Monat!K109+Monat!K125,Monat!K141,Monat!K157,Monat!K173,Monat!K189)</f>
        <v>39</v>
      </c>
      <c r="L13" s="306">
        <f>SUM(Monat!L13,Monat!L29,Monat!L45,Monat!L61,Monat!L77,Monat!L93,Monat!L109+Monat!L125,Monat!L141,Monat!L157,Monat!L173,Monat!L189)</f>
        <v>0</v>
      </c>
      <c r="M13" s="305">
        <f>SUM(Monat!M13,Monat!M29,Monat!M45,Monat!M61,Monat!M77,Monat!M93,Monat!M109+Monat!M125,Monat!M141,Monat!M157,Monat!M173,Monat!M189)</f>
        <v>0</v>
      </c>
      <c r="N13" s="302">
        <f>SUM(Monat!N13,Monat!N29,Monat!N45,Monat!N61,Monat!N77,Monat!N93,Monat!N109+Monat!N125,Monat!N141,Monat!N157,Monat!N173,Monat!N189)</f>
        <v>0</v>
      </c>
      <c r="O13" s="305">
        <f>SUM(Monat!O13,Monat!O29,Monat!O45,Monat!O61,Monat!O77,Monat!O93,Monat!O109+Monat!O125,Monat!O141,Monat!O157,Monat!O173,Monat!O189)</f>
        <v>0</v>
      </c>
      <c r="P13" s="306">
        <f>SUM(Monat!P13,Monat!P29,Monat!P45,Monat!P61,Monat!P77,Monat!P93,Monat!P109+Monat!P125,Monat!P141,Monat!P157,Monat!P173,Monat!P189)</f>
        <v>0</v>
      </c>
      <c r="Q13" s="305">
        <f>SUM(Monat!Q13,Monat!Q29,Monat!Q45,Monat!Q61,Monat!Q77,Monat!Q93,Monat!Q109+Monat!Q125,Monat!Q141,Monat!Q157,Monat!Q173,Monat!Q189)</f>
        <v>0</v>
      </c>
      <c r="R13" s="306">
        <f>SUM(Monat!R13,Monat!R29,Monat!R45,Monat!R61,Monat!R77,Monat!R93,Monat!R109+Monat!R125,Monat!R141,Monat!R157,Monat!R173,Monat!R189)</f>
        <v>0</v>
      </c>
      <c r="S13" s="305">
        <f>SUM(Monat!S13,Monat!S29,Monat!S45,Monat!S61,Monat!S77,Monat!S93,Monat!S109+Monat!S125,Monat!S141,Monat!S157,Monat!S173,Monat!S189)</f>
        <v>0</v>
      </c>
    </row>
    <row r="14" ht="12.75" customHeight="1">
      <c r="B14" s="304" t="str">
        <f>Dienstplan!B19</f>
        <v>Radimersky</v>
      </c>
      <c r="C14" s="305">
        <f>SUM(Monat!C14,Monat!C30,Monat!C46,Monat!C62,Monat!C78,Monat!C94,Monat!C110+Monat!C126,Monat!C142,Monat!C158,Monat!C174,Monat!C190)</f>
        <v>0</v>
      </c>
      <c r="D14" s="302">
        <f>SUM(Monat!D14,Monat!D30,Monat!D46,Monat!D62,Monat!D78,Monat!D94,Monat!D110+Monat!D126,Monat!D142,Monat!D158,Monat!D174,Monat!D190)</f>
        <v>0</v>
      </c>
      <c r="E14" s="305">
        <f>SUM(Monat!E14,Monat!E30,Monat!E46,Monat!E62,Monat!E78,Monat!E94,Monat!E110+Monat!E126,Monat!E142,Monat!E158,Monat!E174,Monat!E190)</f>
        <v>0</v>
      </c>
      <c r="F14" s="302">
        <f>SUM(Monat!F14,Monat!F30,Monat!F46,Monat!F62,Monat!F78,Monat!F94,Monat!F110+Monat!F126,Monat!F142,Monat!F158,Monat!F174,Monat!F190)</f>
        <v>0</v>
      </c>
      <c r="G14" s="302">
        <f>SUM(Monat!G14,Monat!G30,Monat!G46,Monat!G62,Monat!G78,Monat!G94,Monat!G110+Monat!G126,Monat!G142,Monat!G158,Monat!G174,Monat!G190)</f>
        <v>0</v>
      </c>
      <c r="H14" s="302">
        <f>SUM(Monat!H14,Monat!H30,Monat!H46,Monat!H62,Monat!H78,Monat!H94,Monat!H110+Monat!H126,Monat!H142,Monat!H158,Monat!H174,Monat!H190)</f>
        <v>0</v>
      </c>
      <c r="I14" s="305">
        <f>SUM(Monat!I14,Monat!I30,Monat!I46,Monat!I62,Monat!I78,Monat!I94,Monat!I110+Monat!I126,Monat!I142,Monat!I158,Monat!I174,Monat!I190)</f>
        <v>0</v>
      </c>
      <c r="J14" s="302">
        <f>SUM(Monat!J14,Monat!J30,Monat!J46,Monat!J62,Monat!J78,Monat!J94,Monat!J110+Monat!J126,Monat!J142,Monat!J158,Monat!J174,Monat!J190)</f>
        <v>0</v>
      </c>
      <c r="K14" s="305">
        <f>SUM(Monat!K14,Monat!K30,Monat!K46,Monat!K62,Monat!K78,Monat!K94,Monat!K110+Monat!K126,Monat!K142,Monat!K158,Monat!K174,Monat!K190)</f>
        <v>41</v>
      </c>
      <c r="L14" s="306">
        <f>SUM(Monat!L14,Monat!L30,Monat!L46,Monat!L62,Monat!L78,Monat!L94,Monat!L110+Monat!L126,Monat!L142,Monat!L158,Monat!L174,Monat!L190)</f>
        <v>0</v>
      </c>
      <c r="M14" s="305">
        <f>SUM(Monat!M14,Monat!M30,Monat!M46,Monat!M62,Monat!M78,Monat!M94,Monat!M110+Monat!M126,Monat!M142,Monat!M158,Monat!M174,Monat!M190)</f>
        <v>0</v>
      </c>
      <c r="N14" s="302">
        <f>SUM(Monat!N14,Monat!N30,Monat!N46,Monat!N62,Monat!N78,Monat!N94,Monat!N110+Monat!N126,Monat!N142,Monat!N158,Monat!N174,Monat!N190)</f>
        <v>0</v>
      </c>
      <c r="O14" s="305">
        <f>SUM(Monat!O14,Monat!O30,Monat!O46,Monat!O62,Monat!O78,Monat!O94,Monat!O110+Monat!O126,Monat!O142,Monat!O158,Monat!O174,Monat!O190)</f>
        <v>0</v>
      </c>
      <c r="P14" s="306">
        <f>SUM(Monat!P14,Monat!P30,Monat!P46,Monat!P62,Monat!P78,Monat!P94,Monat!P110+Monat!P126,Monat!P142,Monat!P158,Monat!P174,Monat!P190)</f>
        <v>0</v>
      </c>
      <c r="Q14" s="305">
        <f>SUM(Monat!Q14,Monat!Q30,Monat!Q46,Monat!Q62,Monat!Q78,Monat!Q94,Monat!Q110+Monat!Q126,Monat!Q142,Monat!Q158,Monat!Q174,Monat!Q190)</f>
        <v>0</v>
      </c>
      <c r="R14" s="306">
        <f>SUM(Monat!R14,Monat!R30,Monat!R46,Monat!R62,Monat!R78,Monat!R94,Monat!R110+Monat!R126,Monat!R142,Monat!R158,Monat!R174,Monat!R190)</f>
        <v>0</v>
      </c>
      <c r="S14" s="305">
        <f>SUM(Monat!S14,Monat!S30,Monat!S46,Monat!S62,Monat!S78,Monat!S94,Monat!S110+Monat!S126,Monat!S142,Monat!S158,Monat!S174,Monat!S190)</f>
        <v>0</v>
      </c>
    </row>
    <row r="15" ht="12.75" customHeight="1">
      <c r="B15" s="304" t="s">
        <v>134</v>
      </c>
      <c r="C15" s="307">
        <f>SUM(Monat!C16,Monat!C32,Monat!C48,Monat!C64,Monat!C80,Monat!C96,Monat!C112+Monat!C128,Monat!C144,Monat!C160,Monat!C176,Monat!C192)</f>
        <v>65</v>
      </c>
      <c r="D15" s="307">
        <f>SUM(Monat!D16,Monat!D32,Monat!D48,Monat!D64,Monat!D80,Monat!D96,Monat!D112+Monat!D128,Monat!D144,Monat!D160,Monat!D176,Monat!D192)</f>
        <v>33</v>
      </c>
      <c r="E15" s="307">
        <f>SUM(Monat!E16,Monat!E32,Monat!E48,Monat!E64,Monat!E80,Monat!E96,Monat!E112+Monat!E128,Monat!E144,Monat!E160,Monat!E176,Monat!E192)</f>
        <v>112</v>
      </c>
      <c r="F15" s="307">
        <f>SUM(Monat!F16,Monat!F32,Monat!F48,Monat!F64,Monat!F80,Monat!F96,Monat!F112+Monat!F128,Monat!F144,Monat!F160,Monat!F176,Monat!F192)</f>
        <v>256</v>
      </c>
      <c r="G15" s="307">
        <f>SUM(Monat!G16,Monat!G32,Monat!G48,Monat!G64,Monat!G80,Monat!G96,Monat!G112+Monat!G128,Monat!G144,Monat!G160,Monat!G176,Monat!G192)</f>
        <v>44</v>
      </c>
      <c r="H15" s="307">
        <f>SUM(Monat!H16,Monat!H32,Monat!H48,Monat!H64,Monat!H80,Monat!H96,Monat!H112+Monat!H128,Monat!H144,Monat!H160,Monat!H176,Monat!H192)</f>
        <v>5</v>
      </c>
      <c r="I15" s="307">
        <f>SUM(Monat!I16,Monat!I32,Monat!I48,Monat!I64,Monat!I80,Monat!I96,Monat!I112+Monat!I128,Monat!I144,Monat!I160,Monat!I176,Monat!I192)</f>
        <v>9</v>
      </c>
      <c r="J15" s="307">
        <f>SUM(Monat!J16,Monat!J32,Monat!J48,Monat!J64,Monat!J80,Monat!J96,Monat!J112+Monat!J128,Monat!J144,Monat!J160,Monat!J176,Monat!J192)</f>
        <v>34</v>
      </c>
      <c r="K15" s="307">
        <f>SUM(Monat!K16,Monat!K32,Monat!K48,Monat!K64,Monat!K80,Monat!K96,Monat!K112+Monat!K128,Monat!K144,Monat!K160,Monat!K176,Monat!K192)</f>
        <v>358</v>
      </c>
      <c r="L15" s="307">
        <f>SUM(Monat!L16,Monat!L32,Monat!L48,Monat!L64,Monat!L80,Monat!L96,Monat!L112+Monat!L128,Monat!L144,Monat!L160,Monat!L176,Monat!L192)</f>
        <v>11</v>
      </c>
      <c r="M15" s="307">
        <f>SUM(Monat!M16,Monat!M32,Monat!M48,Monat!M64,Monat!M80,Monat!M96,Monat!M112+Monat!M128,Monat!M144,Monat!M160,Monat!M176,Monat!M192)</f>
        <v>35</v>
      </c>
      <c r="N15" s="307">
        <f>SUM(Monat!N16,Monat!N32,Monat!N48,Monat!N64,Monat!N80,Monat!N96,Monat!N112+Monat!N128,Monat!N144,Monat!N160,Monat!N176,Monat!N192)</f>
        <v>0</v>
      </c>
      <c r="O15" s="307">
        <f>SUM(Monat!O16,Monat!O32,Monat!O48,Monat!O64,Monat!O80,Monat!O96,Monat!O112+Monat!O128,Monat!O144,Monat!O160,Monat!O176,Monat!O192)</f>
        <v>38</v>
      </c>
      <c r="P15" s="307">
        <f>SUM(Monat!P16,Monat!P32,Monat!P48,Monat!P64,Monat!P80,Monat!P96,Monat!P112+Monat!P128,Monat!P144,Monat!P160,Monat!P176,Monat!P192)</f>
        <v>11</v>
      </c>
      <c r="Q15" s="307">
        <f>SUM(Monat!Q16,Monat!Q32,Monat!Q48,Monat!Q64,Monat!Q80,Monat!Q96,Monat!Q112+Monat!Q128,Monat!Q144,Monat!Q160,Monat!Q176,Monat!Q192)</f>
        <v>0</v>
      </c>
      <c r="R15" s="307">
        <f>SUM(Monat!R16,Monat!R32,Monat!R48,Monat!R64,Monat!R80,Monat!R96,Monat!R112+Monat!R128,Monat!R144,Monat!R160,Monat!R176,Monat!R192)</f>
        <v>0</v>
      </c>
      <c r="S15" s="307">
        <f>SUM(Monat!S16,Monat!S32,Monat!S48,Monat!S64,Monat!S80,Monat!S96,Monat!S112+Monat!S128,Monat!S144,Monat!S160,Monat!S176,Monat!S192)</f>
        <v>52</v>
      </c>
    </row>
    <row r="16" ht="12.75" customHeight="1">
      <c r="B16" s="300"/>
      <c r="C16" s="300"/>
      <c r="D16" s="300"/>
      <c r="E16" s="300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300"/>
      <c r="R16" s="300"/>
      <c r="S16" s="300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 gridLines="1" horizontalCentered="1"/>
  <pageMargins bottom="0.984251968503937" footer="0.0" header="0.0" left="0.1968503937007874" right="0.7874015748031497" top="1.7716535433070868"/>
  <pageSetup paperSize="9" orientation="landscape"/>
  <headerFooter>
    <oddHeader/>
    <oddFooter>&amp;LDaimler AG Werksärztlicher Dienst Rastatt PER/HSW &amp;CErstellt am: 07.10.2010 von: Manfred Velten &amp;RVerantwortlich: Dr.Frei Druckdatum: &amp;D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3.14"/>
    <col customWidth="1" min="2" max="2" width="13.14"/>
    <col customWidth="1" min="3" max="14" width="6.86"/>
    <col customWidth="1" min="15" max="17" width="6.71"/>
    <col customWidth="1" min="18" max="18" width="6.86"/>
    <col customWidth="1" min="19" max="19" width="6.71"/>
    <col customWidth="1" min="20" max="23" width="8.71"/>
    <col customWidth="1" min="24" max="24" width="3.14"/>
    <col customWidth="1" min="25" max="25" width="13.14"/>
    <col customWidth="1" min="26" max="26" width="6.57"/>
    <col customWidth="1" min="27" max="27" width="11.43"/>
    <col customWidth="1" min="28" max="28" width="10.0"/>
    <col customWidth="1" min="29" max="29" width="6.0"/>
    <col customWidth="1" min="30" max="30" width="13.43"/>
    <col customWidth="1" min="31" max="31" width="11.43"/>
    <col customWidth="1" min="32" max="32" width="6.29"/>
    <col customWidth="1" min="33" max="33" width="11.43"/>
    <col customWidth="1" min="34" max="34" width="6.0"/>
    <col customWidth="1" min="35" max="35" width="13.43"/>
    <col customWidth="1" min="36" max="36" width="11.43"/>
  </cols>
  <sheetData>
    <row r="1" ht="12.75" customHeight="1">
      <c r="A1" s="308"/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9"/>
      <c r="T1" s="300"/>
      <c r="U1" s="300"/>
      <c r="V1" s="309"/>
      <c r="W1" s="310"/>
      <c r="Y1" s="311"/>
      <c r="Z1" s="311"/>
      <c r="AA1" s="311"/>
      <c r="AB1" s="311"/>
      <c r="AC1" s="311"/>
    </row>
    <row r="2" ht="12.75" customHeight="1">
      <c r="A2" s="308"/>
      <c r="B2" s="312" t="s">
        <v>135</v>
      </c>
      <c r="D2" s="313" t="s">
        <v>136</v>
      </c>
      <c r="E2" s="314"/>
      <c r="F2" s="315">
        <v>21.0</v>
      </c>
      <c r="G2" s="316"/>
      <c r="H2" s="317"/>
      <c r="I2" s="313" t="s">
        <v>137</v>
      </c>
      <c r="J2" s="314"/>
      <c r="K2" s="315">
        <v>4.0</v>
      </c>
      <c r="S2" s="308"/>
      <c r="V2" s="308"/>
      <c r="W2" s="318"/>
      <c r="Y2" s="319" t="s">
        <v>138</v>
      </c>
      <c r="Z2" s="320" t="s">
        <v>139</v>
      </c>
      <c r="AA2" s="321" t="s">
        <v>140</v>
      </c>
      <c r="AB2" s="322" t="s">
        <v>141</v>
      </c>
      <c r="AC2" s="320" t="s">
        <v>142</v>
      </c>
      <c r="AD2" s="321" t="s">
        <v>143</v>
      </c>
      <c r="AF2" s="304"/>
      <c r="AG2" s="304"/>
      <c r="AH2" s="304"/>
      <c r="AI2" s="304"/>
      <c r="AJ2" s="304"/>
    </row>
    <row r="3" ht="12.75" customHeight="1">
      <c r="A3" s="308"/>
      <c r="B3" s="308"/>
      <c r="C3" s="303" t="str">
        <f>Jahr!C3</f>
        <v>FI</v>
      </c>
      <c r="D3" s="303" t="str">
        <f>Jahr!D3</f>
        <v>FII</v>
      </c>
      <c r="E3" s="303" t="str">
        <f>Jahr!E3</f>
        <v>SI</v>
      </c>
      <c r="F3" s="303" t="str">
        <f>Jahr!F3</f>
        <v>NI</v>
      </c>
      <c r="G3" s="303" t="str">
        <f>Jahr!G3</f>
        <v>DI</v>
      </c>
      <c r="H3" s="303" t="str">
        <f>Jahr!H3</f>
        <v>DII</v>
      </c>
      <c r="I3" s="303" t="str">
        <f>Jahr!I3</f>
        <v>SD</v>
      </c>
      <c r="J3" s="303" t="str">
        <f>Jahr!J3</f>
        <v>GT</v>
      </c>
      <c r="K3" s="303" t="str">
        <f>Jahr!K3</f>
        <v>U</v>
      </c>
      <c r="L3" s="303" t="str">
        <f>Jahr!L3</f>
        <v>EH</v>
      </c>
      <c r="M3" s="303" t="str">
        <f>Jahr!M3</f>
        <v>KT</v>
      </c>
      <c r="N3" s="303" t="str">
        <f>Jahr!N3</f>
        <v>Sek</v>
      </c>
      <c r="O3" s="303" t="str">
        <f>Jahr!O3</f>
        <v>Fobi</v>
      </c>
      <c r="P3" s="303" t="str">
        <f>Jahr!P3</f>
        <v>A</v>
      </c>
      <c r="Q3" s="303" t="str">
        <f>Jahr!Q3</f>
        <v>Kur</v>
      </c>
      <c r="R3" s="303" t="str">
        <f>Jahr!R3</f>
        <v>FZC</v>
      </c>
      <c r="S3" s="303" t="str">
        <f>Jahr!S3</f>
        <v>NST</v>
      </c>
      <c r="T3" s="303" t="s">
        <v>144</v>
      </c>
      <c r="U3" s="303" t="s">
        <v>145</v>
      </c>
      <c r="V3" s="323" t="s">
        <v>146</v>
      </c>
      <c r="W3" s="324" t="s">
        <v>147</v>
      </c>
      <c r="X3" s="325"/>
      <c r="Y3" s="304" t="str">
        <f t="shared" ref="Y3:Y13" si="1">B4</f>
        <v>Breig</v>
      </c>
      <c r="Z3" s="326">
        <v>8.0</v>
      </c>
      <c r="AA3" s="327">
        <v>0.0</v>
      </c>
      <c r="AB3" s="328" t="s">
        <v>56</v>
      </c>
      <c r="AC3" s="326">
        <v>7.25</v>
      </c>
      <c r="AD3" s="327">
        <f t="shared" ref="AD3:AD8" si="2">SUM(Z3*30)</f>
        <v>240</v>
      </c>
      <c r="AF3" s="306"/>
      <c r="AG3" s="306"/>
      <c r="AH3" s="306"/>
      <c r="AI3" s="306"/>
    </row>
    <row r="4" ht="12.75" customHeight="1">
      <c r="A4" s="308"/>
      <c r="B4" s="329" t="str">
        <f>Dienstplan!B8</f>
        <v>Breig</v>
      </c>
      <c r="C4" s="302">
        <f>SUMPRODUCT((ISNUMBER(SEARCH($Y3,Dienstplan!$B$8:$B$19))*(ISNUMBER(SEARCH($AB$3,Dienstplan!$C$8:$AG$19)))))-D4</f>
        <v>0</v>
      </c>
      <c r="D4" s="302">
        <f>SUMPRODUCT((ISNUMBER(SEARCH($Y3,Dienstplan!$B$8:$B$19))*(ISNUMBER(SEARCH($AB$4,Dienstplan!$C$8:$AG$19)))))</f>
        <v>6</v>
      </c>
      <c r="E4" s="302">
        <f>SUMPRODUCT((ISNUMBER(SEARCH($Y3,Dienstplan!$B$8:$B$19))*(ISNUMBER(SEARCH($AB$5,Dienstplan!$C$8:$AG$19)))))</f>
        <v>5</v>
      </c>
      <c r="F4" s="302">
        <f>SUMPRODUCT((ISNUMBER(SEARCH($Y3,Dienstplan!$B$8:$B$19))*(ISNUMBER(SEARCH($AB6,Dienstplan!$C$8:$AG$19)))))-1</f>
        <v>1</v>
      </c>
      <c r="G4" s="302">
        <f>SUMPRODUCT((ISNUMBER(SEARCH($Y3,Dienstplan!$B$8:$B$19))*(ISNUMBER(SEARCH(AB$7,Dienstplan!$C$8:$AG$19)))))-H4</f>
        <v>2</v>
      </c>
      <c r="H4" s="302">
        <f>SUMPRODUCT((ISNUMBER(SEARCH($Y3,Dienstplan!$B$8:$B$19))*(ISNUMBER(SEARCH(AB$8,Dienstplan!$C$8:$AG$19)))))</f>
        <v>0</v>
      </c>
      <c r="I4" s="302">
        <f>SUMPRODUCT((ISNUMBER(SEARCH($Y3,Dienstplan!$B$8:$B$19))*(ISNUMBER(SEARCH($AB$9,Dienstplan!$C$8:$AG$19)))))</f>
        <v>0</v>
      </c>
      <c r="J4" s="302">
        <f>SUMPRODUCT((ISNUMBER(SEARCH($Y3,Dienstplan!$B$8:$B$19))*(ISNUMBER(SEARCH($AB$10,Dienstplan!$C$8:$AG$19)))))</f>
        <v>1</v>
      </c>
      <c r="K4" s="302">
        <f>SUMPRODUCT((ISNUMBER(SEARCH($Y3,Dienstplan!$B$8:$B$19))*(ISNUMBER(SEARCH($AB$11,Dienstplan!$C$8:$AG$19)))))-$Q4</f>
        <v>4</v>
      </c>
      <c r="L4" s="302">
        <f>SUMPRODUCT((ISNUMBER(SEARCH($Y3,Dienstplan!$B$8:$B$19))*(ISNUMBER(SEARCH($AB$12,Dienstplan!$C$8:$AG$19)))))</f>
        <v>0</v>
      </c>
      <c r="M4" s="302">
        <f>SUMPRODUCT((ISNUMBER(SEARCH($Y3,Dienstplan!$B$8:$B$19))*(ISNUMBER(SEARCH($AB$13,Dienstplan!$C$8:$AG$19)))))</f>
        <v>0</v>
      </c>
      <c r="N4" s="302">
        <f>SUMPRODUCT((ISNUMBER(SEARCH($Y3,Dienstplan!$B$8:$B$19))*(ISNUMBER(SEARCH($AB$14,Dienstplan!$C$8:$AG$19)))))</f>
        <v>0</v>
      </c>
      <c r="O4" s="302">
        <f>SUMPRODUCT((ISNUMBER(SEARCH($Y3,Dienstplan!$B$8:$B$19))*(ISNUMBER(SEARCH($AB$15,Dienstplan!$C$8:$AG$19)))))</f>
        <v>0</v>
      </c>
      <c r="P4" s="302">
        <f>SUMPRODUCT((ISNUMBER(SEARCH($Y3,Dienstplan!$B$8:$B$19))*(ISNUMBER(SEARCH($AB$16,Dienstplan!$C$8:$AG$19)))))</f>
        <v>2</v>
      </c>
      <c r="Q4" s="302">
        <f>SUMPRODUCT((ISNUMBER(SEARCH($Y3,Dienstplan!$B$8:$B$19))*(ISNUMBER(SEARCH($AB$17,Dienstplan!$C$8:$AG$19)))))</f>
        <v>0</v>
      </c>
      <c r="R4" s="302">
        <f>SUMPRODUCT((ISNUMBER(SEARCH($Y3,Dienstplan!$B$8:$B$19))*(ISNUMBER(SEARCH($AB$18,Dienstplan!$C$8:$AG$19)))))</f>
        <v>0</v>
      </c>
      <c r="S4" s="308">
        <f>SUMPRODUCT((ISNUMBER(SEARCH($Y3,Dienstplan!$B$8:$B$19))*(ISNUMBER(SEARCH($AB$19,Dienstplan!$C$8:$AG$19)))))</f>
        <v>0</v>
      </c>
      <c r="T4" s="302">
        <f t="shared" ref="T4:T9" si="3">SUM($F$2*$Z3)</f>
        <v>168</v>
      </c>
      <c r="U4" s="330">
        <f>SUM($C4*Frueh_1+$D4*Spaet_1+$E4*Nacht_1+$F4*Normal_1+$I4*Sonderd_1-$J4*Velten+$K4*Velten+$L4*EH_Kurs+$M4*Koor_taet+$N4*Sekre_1+$O4*Velten+$R4*Velten+$P4*Velten+$Q4*Velten+G4*Unt_I+H4*Unt_II)</f>
        <v>146</v>
      </c>
      <c r="V4" s="308">
        <f t="shared" ref="V4:V14" si="4">SUM($U4-$T4)</f>
        <v>-22</v>
      </c>
      <c r="W4" s="318">
        <f t="shared" ref="W4:W10" si="5">V4+AA3</f>
        <v>-22</v>
      </c>
      <c r="X4" s="325"/>
      <c r="Y4" s="304" t="str">
        <f t="shared" si="1"/>
        <v>Siebert</v>
      </c>
      <c r="Z4" s="326">
        <v>7.0</v>
      </c>
      <c r="AA4" s="327">
        <v>0.0</v>
      </c>
      <c r="AB4" s="328" t="s">
        <v>51</v>
      </c>
      <c r="AC4" s="326">
        <v>7.5</v>
      </c>
      <c r="AD4" s="327">
        <f t="shared" si="2"/>
        <v>210</v>
      </c>
      <c r="AF4" s="306"/>
      <c r="AG4" s="306"/>
      <c r="AH4" s="306"/>
      <c r="AI4" s="306"/>
    </row>
    <row r="5" ht="12.75" customHeight="1">
      <c r="A5" s="308"/>
      <c r="B5" s="329" t="str">
        <f>Dienstplan!B9</f>
        <v>Siebert</v>
      </c>
      <c r="C5" s="302">
        <f>SUMPRODUCT((ISNUMBER(SEARCH($Y4,Dienstplan!$B$8:$B$19))*(ISNUMBER(SEARCH($AB$3,Dienstplan!$C$8:$AG$19)))))-D5</f>
        <v>6</v>
      </c>
      <c r="D5" s="302">
        <f>SUMPRODUCT((ISNUMBER(SEARCH($Y4,Dienstplan!$B$8:$B$19))*(ISNUMBER(SEARCH($AB$4,Dienstplan!$C$8:$AG$19)))))</f>
        <v>3</v>
      </c>
      <c r="E5" s="302">
        <f>SUMPRODUCT((ISNUMBER(SEARCH($Y4,Dienstplan!$B$8:$B$19))*(ISNUMBER(SEARCH($AB$5,Dienstplan!$C$8:$AG$19)))))</f>
        <v>5</v>
      </c>
      <c r="F5" s="302">
        <f>SUMPRODUCT((ISNUMBER(SEARCH($Y4,Dienstplan!$B$8:$B$19))*(ISNUMBER(SEARCH($AB$6,Dienstplan!$C$8:$AG$19)))))</f>
        <v>5</v>
      </c>
      <c r="G5" s="302">
        <f>SUMPRODUCT((ISNUMBER(SEARCH($Y4,Dienstplan!$B$8:$B$19))*(ISNUMBER(SEARCH(AB$7,Dienstplan!$C$8:$AG$19)))))-H5</f>
        <v>0</v>
      </c>
      <c r="H5" s="302">
        <f>SUMPRODUCT((ISNUMBER(SEARCH($Y4,Dienstplan!$B$8:$B$19))*(ISNUMBER(SEARCH(AB$8,Dienstplan!$C$8:$AG$19)))))</f>
        <v>0</v>
      </c>
      <c r="I5" s="302">
        <f>SUMPRODUCT((ISNUMBER(SEARCH($Y4,Dienstplan!$B$8:$B$19))*(ISNUMBER(SEARCH($AB$9,Dienstplan!$C$8:$AG$19)))))</f>
        <v>0</v>
      </c>
      <c r="J5" s="302">
        <f>SUMPRODUCT((ISNUMBER(SEARCH($Y4,Dienstplan!$B$8:$B$19))*(ISNUMBER(SEARCH($AB$10,Dienstplan!$C$8:$AG$19)))))</f>
        <v>0</v>
      </c>
      <c r="K5" s="302">
        <f>SUMPRODUCT((ISNUMBER(SEARCH($Y4,Dienstplan!$B$8:$B$19))*(ISNUMBER(SEARCH($AB$11,Dienstplan!$C$8:$AG$19)))))-$Q5</f>
        <v>1</v>
      </c>
      <c r="L5" s="302">
        <f>SUMPRODUCT((ISNUMBER(SEARCH($Y4,Dienstplan!$B$8:$B$19))*(ISNUMBER(SEARCH($AB$12,Dienstplan!$C$8:$AG$19)))))</f>
        <v>0</v>
      </c>
      <c r="M5" s="302">
        <f>SUMPRODUCT((ISNUMBER(SEARCH($Y4,Dienstplan!$B$8:$B$19))*(ISNUMBER(SEARCH($AB$13,Dienstplan!$C$8:$AG$19)))))</f>
        <v>0</v>
      </c>
      <c r="N5" s="302">
        <f>SUMPRODUCT((ISNUMBER(SEARCH($Y4,Dienstplan!$B$8:$B$19))*(ISNUMBER(SEARCH($AB$14,Dienstplan!$C$8:$AG$19)))))</f>
        <v>0</v>
      </c>
      <c r="O5" s="302">
        <f>SUMPRODUCT((ISNUMBER(SEARCH($Y4,Dienstplan!$B$8:$B$19))*(ISNUMBER(SEARCH($AB$15,Dienstplan!$C$8:$AG$19)))))</f>
        <v>0</v>
      </c>
      <c r="P5" s="302">
        <f>SUMPRODUCT((ISNUMBER(SEARCH($Y4,Dienstplan!$B$8:$B$19))*(ISNUMBER(SEARCH($AB$16,Dienstplan!$C$8:$AG$19)))))</f>
        <v>1</v>
      </c>
      <c r="Q5" s="302">
        <f>SUMPRODUCT((ISNUMBER(SEARCH($Y4,Dienstplan!$B$8:$B$19))*(ISNUMBER(SEARCH($AB$17,Dienstplan!$C$8:$AG$19)))))</f>
        <v>0</v>
      </c>
      <c r="R5" s="302">
        <f>SUMPRODUCT((ISNUMBER(SEARCH($Y4,Dienstplan!$B$8:$B$19))*(ISNUMBER(SEARCH($AB$18,Dienstplan!$C$8:$AG$19)))))</f>
        <v>0</v>
      </c>
      <c r="S5" s="308">
        <f>SUMPRODUCT((ISNUMBER(SEARCH($Y4,Dienstplan!$B$8:$B$19))*(ISNUMBER(SEARCH($AB$19,Dienstplan!$C$8:$AG$19)))))</f>
        <v>2</v>
      </c>
      <c r="T5" s="302">
        <f t="shared" si="3"/>
        <v>147</v>
      </c>
      <c r="U5" s="330">
        <f>SUM($C5*Frueh_1+$D5*Spaet_1+$E5*Nacht_1+$F5*Normal_1+$I5*Sonderd_1-$J5*Brue_H+$K5*Brue_H+$L5*EH_Kurs+$M5*Koor_taet+$N5*Sekre_1+$O5*Brue_H+$R5*Brue_H+$P5*Brue_H+$Q5*Brue_H+G5*Unt_I+H5*Unt_II)</f>
        <v>155</v>
      </c>
      <c r="V5" s="308">
        <f t="shared" si="4"/>
        <v>8</v>
      </c>
      <c r="W5" s="318">
        <f t="shared" si="5"/>
        <v>8</v>
      </c>
      <c r="X5" s="325"/>
      <c r="Y5" s="304" t="str">
        <f t="shared" si="1"/>
        <v>Jochim</v>
      </c>
      <c r="Z5" s="326">
        <v>7.0</v>
      </c>
      <c r="AA5" s="327">
        <v>0.0</v>
      </c>
      <c r="AB5" s="328" t="s">
        <v>50</v>
      </c>
      <c r="AC5" s="326">
        <v>7.5</v>
      </c>
      <c r="AD5" s="327">
        <f t="shared" si="2"/>
        <v>210</v>
      </c>
      <c r="AF5" s="306"/>
      <c r="AG5" s="306"/>
      <c r="AH5" s="306"/>
      <c r="AI5" s="306"/>
    </row>
    <row r="6" ht="12.75" customHeight="1">
      <c r="A6" s="308"/>
      <c r="B6" s="329" t="str">
        <f>Dienstplan!B10</f>
        <v>Jochim</v>
      </c>
      <c r="C6" s="302">
        <f>SUMPRODUCT((ISNUMBER(SEARCH($Y5,Dienstplan!$B$8:$B$19))*(ISNUMBER(SEARCH($AB$3,Dienstplan!$C$8:$AG$19)))))-D6</f>
        <v>0</v>
      </c>
      <c r="D6" s="302">
        <f>SUMPRODUCT((ISNUMBER(SEARCH($Y5,Dienstplan!$B$8:$B$19))*(ISNUMBER(SEARCH($AB$4,Dienstplan!$C$8:$AG$19)))))</f>
        <v>0</v>
      </c>
      <c r="E6" s="302">
        <f>SUMPRODUCT((ISNUMBER(SEARCH($Y5,Dienstplan!$B$8:$B$19))*(ISNUMBER(SEARCH($AB$5,Dienstplan!$C$8:$AG$19)))))</f>
        <v>0</v>
      </c>
      <c r="F6" s="302">
        <f>SUMPRODUCT((ISNUMBER(SEARCH($Y5,Dienstplan!$B$8:$B$19))*(ISNUMBER(SEARCH($AB$6,Dienstplan!$C$8:$AG$19)))))</f>
        <v>0</v>
      </c>
      <c r="G6" s="302">
        <f>SUMPRODUCT((ISNUMBER(SEARCH($Y5,Dienstplan!$B$8:$B$19))*(ISNUMBER(SEARCH(AB$7,Dienstplan!$C$8:$AG$19)))))-H6</f>
        <v>0</v>
      </c>
      <c r="H6" s="302">
        <f>SUMPRODUCT((ISNUMBER(SEARCH($Y5,Dienstplan!$B$8:$B$19))*(ISNUMBER(SEARCH(AB$8,Dienstplan!$C$8:$AG$19)))))</f>
        <v>0</v>
      </c>
      <c r="I6" s="302">
        <f>SUMPRODUCT((ISNUMBER(SEARCH($Y5,Dienstplan!$B$8:$B$19))*(ISNUMBER(SEARCH($AB$9,Dienstplan!$C$8:$AG$19)))))</f>
        <v>0</v>
      </c>
      <c r="J6" s="302">
        <f>SUMPRODUCT((ISNUMBER(SEARCH($Y5,Dienstplan!$B$8:$B$19))*(ISNUMBER(SEARCH($AB$10,Dienstplan!$C$8:$AG$19)))))</f>
        <v>0</v>
      </c>
      <c r="K6" s="302">
        <f>SUMPRODUCT((ISNUMBER(SEARCH($Y5,Dienstplan!$B$8:$B$19))*(ISNUMBER(SEARCH($AB$11,Dienstplan!$C$8:$AG$19)))))-$Q6</f>
        <v>0</v>
      </c>
      <c r="L6" s="302">
        <f>SUMPRODUCT((ISNUMBER(SEARCH($Y5,Dienstplan!$B$8:$B$19))*(ISNUMBER(SEARCH($AB$12,Dienstplan!$C$8:$AG$19)))))</f>
        <v>0</v>
      </c>
      <c r="M6" s="302">
        <f>SUMPRODUCT((ISNUMBER(SEARCH($Y5,Dienstplan!$B$8:$B$19))*(ISNUMBER(SEARCH($AB$13,Dienstplan!$C$8:$AG$19)))))</f>
        <v>0</v>
      </c>
      <c r="N6" s="302">
        <f>SUMPRODUCT((ISNUMBER(SEARCH($Y5,Dienstplan!$B$8:$B$19))*(ISNUMBER(SEARCH($AB$14,Dienstplan!$C$8:$AG$19)))))</f>
        <v>0</v>
      </c>
      <c r="O6" s="302">
        <f>SUMPRODUCT((ISNUMBER(SEARCH($Y5,Dienstplan!$B$8:$B$19))*(ISNUMBER(SEARCH($AB$15,Dienstplan!$C$8:$AG$19)))))</f>
        <v>0</v>
      </c>
      <c r="P6" s="302">
        <f>SUMPRODUCT((ISNUMBER(SEARCH($Y5,Dienstplan!$B$8:$B$19))*(ISNUMBER(SEARCH($AB$16,Dienstplan!$C$8:$AG$19)))))</f>
        <v>0</v>
      </c>
      <c r="Q6" s="302">
        <f>SUMPRODUCT((ISNUMBER(SEARCH($Y5,Dienstplan!$B$8:$B$19))*(ISNUMBER(SEARCH($AB$17,Dienstplan!$C$8:$AG$19)))))</f>
        <v>0</v>
      </c>
      <c r="R6" s="302">
        <f>SUMPRODUCT((ISNUMBER(SEARCH($Y5,Dienstplan!$B$8:$B$19))*(ISNUMBER(SEARCH($AB$18,Dienstplan!$C$8:$AG$19)))))</f>
        <v>0</v>
      </c>
      <c r="S6" s="308">
        <f>SUMPRODUCT((ISNUMBER(SEARCH($Y5,Dienstplan!$B$8:$B$19))*(ISNUMBER(SEARCH($AB$19,Dienstplan!$C$8:$AG$19)))))</f>
        <v>0</v>
      </c>
      <c r="T6" s="302">
        <f t="shared" si="3"/>
        <v>147</v>
      </c>
      <c r="U6" s="330">
        <f>SUM($C6*Frueh_1+$D6*Spaet_1+$E6*Nacht_1+$F6*Normal_1+$I6*Sonderd_1-$J6*Rath_M+$K6*Rath_M+$L6*EH_Kurs+$M6*Koor_taet+$N6*Sekre_1+$O6*Rath_M+$R6*Rath_M+$P6*Rath_M+$Q6*Rath_M+G6*Unt_I+H6*Unt_II)</f>
        <v>0</v>
      </c>
      <c r="V6" s="308">
        <f t="shared" si="4"/>
        <v>-147</v>
      </c>
      <c r="W6" s="318">
        <f t="shared" si="5"/>
        <v>-147</v>
      </c>
      <c r="X6" s="325"/>
      <c r="Y6" s="304" t="str">
        <f t="shared" si="1"/>
        <v>Wunsch</v>
      </c>
      <c r="Z6" s="326">
        <v>8.0</v>
      </c>
      <c r="AA6" s="327">
        <v>0.0</v>
      </c>
      <c r="AB6" s="328" t="s">
        <v>48</v>
      </c>
      <c r="AC6" s="326">
        <v>7.5</v>
      </c>
      <c r="AD6" s="327">
        <f t="shared" si="2"/>
        <v>240</v>
      </c>
      <c r="AF6" s="306"/>
      <c r="AG6" s="306"/>
      <c r="AH6" s="306"/>
      <c r="AI6" s="306"/>
    </row>
    <row r="7" ht="12.75" customHeight="1">
      <c r="A7" s="308"/>
      <c r="B7" s="329" t="str">
        <f>Dienstplan!B11</f>
        <v>Wunsch</v>
      </c>
      <c r="C7" s="302">
        <f>SUMPRODUCT((ISNUMBER(SEARCH($Y6,Dienstplan!$B$8:$B$19))*(ISNUMBER(SEARCH($AB$3,Dienstplan!$C$8:$AG$19)))))-D7</f>
        <v>5</v>
      </c>
      <c r="D7" s="302">
        <f>SUMPRODUCT((ISNUMBER(SEARCH($Y6,Dienstplan!$B$8:$B$19))*(ISNUMBER(SEARCH($AB$4,Dienstplan!$C$8:$AG$19)))))</f>
        <v>0</v>
      </c>
      <c r="E7" s="302">
        <f>SUMPRODUCT((ISNUMBER(SEARCH($Y6,Dienstplan!$B$8:$B$19))*(ISNUMBER(SEARCH($AB$5,Dienstplan!$C$8:$AG$19)))))</f>
        <v>5</v>
      </c>
      <c r="F7" s="302">
        <f>SUMPRODUCT((ISNUMBER(SEARCH($Y6,Dienstplan!$B$8:$B$19))*(ISNUMBER(SEARCH($AB$6,Dienstplan!$C$8:$AG$19)))))</f>
        <v>5</v>
      </c>
      <c r="G7" s="302">
        <f>SUMPRODUCT((ISNUMBER(SEARCH($Y6,Dienstplan!$B$8:$B$19))*(ISNUMBER(SEARCH(AB$7,Dienstplan!$C$8:$AG$19)))))-H7</f>
        <v>3</v>
      </c>
      <c r="H7" s="302">
        <f>SUMPRODUCT((ISNUMBER(SEARCH($Y6,Dienstplan!$B$8:$B$19))*(ISNUMBER(SEARCH(AB$8,Dienstplan!$C$8:$AG$19)))))</f>
        <v>0</v>
      </c>
      <c r="I7" s="302">
        <f>SUMPRODUCT((ISNUMBER(SEARCH($Y6,Dienstplan!$B$8:$B$19))*(ISNUMBER(SEARCH($AB$9,Dienstplan!$C$8:$AG$19)))))</f>
        <v>2</v>
      </c>
      <c r="J7" s="302">
        <f>SUMPRODUCT((ISNUMBER(SEARCH($Y6,Dienstplan!$B$8:$B$19))*(ISNUMBER(SEARCH($AB$10,Dienstplan!$C$8:$AG$19)))))</f>
        <v>0</v>
      </c>
      <c r="K7" s="302">
        <f>SUMPRODUCT((ISNUMBER(SEARCH($Y6,Dienstplan!$B$8:$B$19))*(ISNUMBER(SEARCH($AB$11,Dienstplan!$C$8:$AG$19)))))-$Q7</f>
        <v>0</v>
      </c>
      <c r="L7" s="302">
        <f>SUMPRODUCT((ISNUMBER(SEARCH($Y6,Dienstplan!$B$8:$B$19))*(ISNUMBER(SEARCH($AB$12,Dienstplan!$C$8:$AG$19)))))</f>
        <v>0</v>
      </c>
      <c r="M7" s="302">
        <f>SUMPRODUCT((ISNUMBER(SEARCH($Y6,Dienstplan!$B$8:$B$19))*(ISNUMBER(SEARCH($AB$13,Dienstplan!$C$8:$AG$19)))))</f>
        <v>0</v>
      </c>
      <c r="N7" s="302">
        <f>SUMPRODUCT((ISNUMBER(SEARCH($Y6,Dienstplan!$B$8:$B$19))*(ISNUMBER(SEARCH($AB$14,Dienstplan!$C$8:$AG$19)))))</f>
        <v>0</v>
      </c>
      <c r="O7" s="302">
        <f>SUMPRODUCT((ISNUMBER(SEARCH($Y6,Dienstplan!$B$8:$B$19))*(ISNUMBER(SEARCH($AB$15,Dienstplan!$C$8:$AG$19)))))</f>
        <v>0</v>
      </c>
      <c r="P7" s="302">
        <f>SUMPRODUCT((ISNUMBER(SEARCH($Y6,Dienstplan!$B$8:$B$19))*(ISNUMBER(SEARCH($AB$16,Dienstplan!$C$8:$AG$19)))))</f>
        <v>0</v>
      </c>
      <c r="Q7" s="302">
        <f>SUMPRODUCT((ISNUMBER(SEARCH($Y6,Dienstplan!$B$8:$B$19))*(ISNUMBER(SEARCH($AB$17,Dienstplan!$C$8:$AG$19)))))</f>
        <v>0</v>
      </c>
      <c r="R7" s="302">
        <f>SUMPRODUCT((ISNUMBER(SEARCH($Y6,Dienstplan!$B$8:$B$19))*(ISNUMBER(SEARCH($AB$18,Dienstplan!$C$8:$AG$19)))))</f>
        <v>0</v>
      </c>
      <c r="S7" s="308">
        <f>SUMPRODUCT((ISNUMBER(SEARCH($Y6,Dienstplan!$B$8:$B$19))*(ISNUMBER(SEARCH($AB$19,Dienstplan!$C$8:$AG$19)))))</f>
        <v>1</v>
      </c>
      <c r="T7" s="302">
        <f t="shared" si="3"/>
        <v>168</v>
      </c>
      <c r="U7" s="330">
        <f>SUM($C7*Frueh_1+$D7*Spaet_1+$E7*Nacht_1+$F7*Normal_1+$I7*Sonderd_1-$J7*Scho_K+$K7*Scho_K+$L7*EH_Kurs+$M7*Koor_taet+$N7*Sekre_1+$O7*Scho_K+$R7*Scho_K+$P7*Scho_K+$Q7*Scho_K+G7*Unt_I+H7*Unt_II)</f>
        <v>149.25</v>
      </c>
      <c r="V7" s="308">
        <f t="shared" si="4"/>
        <v>-18.75</v>
      </c>
      <c r="W7" s="318">
        <f t="shared" si="5"/>
        <v>-18.75</v>
      </c>
      <c r="X7" s="325"/>
      <c r="Y7" s="304" t="str">
        <f t="shared" si="1"/>
        <v>Göpfrich</v>
      </c>
      <c r="Z7" s="326">
        <v>7.0</v>
      </c>
      <c r="AA7" s="327">
        <v>0.0</v>
      </c>
      <c r="AB7" s="328" t="s">
        <v>53</v>
      </c>
      <c r="AC7" s="326">
        <v>8.0</v>
      </c>
      <c r="AD7" s="327">
        <f t="shared" si="2"/>
        <v>210</v>
      </c>
      <c r="AF7" s="306"/>
      <c r="AG7" s="306"/>
      <c r="AH7" s="306"/>
      <c r="AI7" s="306"/>
    </row>
    <row r="8" ht="12.75" customHeight="1">
      <c r="A8" s="308"/>
      <c r="B8" s="329" t="str">
        <f>Dienstplan!B12</f>
        <v>Göpfrich</v>
      </c>
      <c r="C8" s="302">
        <f>SUMPRODUCT((ISNUMBER(SEARCH($Y7,Dienstplan!$B$8:$B$19))*(ISNUMBER(SEARCH($AB$3,Dienstplan!$C$8:$AG$19)))))-D8</f>
        <v>0</v>
      </c>
      <c r="D8" s="302">
        <f>SUMPRODUCT((ISNUMBER(SEARCH($Y7,Dienstplan!$B$8:$B$19))*(ISNUMBER(SEARCH($AB$4,Dienstplan!$C$8:$AG$19)))))</f>
        <v>0</v>
      </c>
      <c r="E8" s="302">
        <f>SUMPRODUCT((ISNUMBER(SEARCH($Y7,Dienstplan!$B$8:$B$19))*(ISNUMBER(SEARCH($AB$5,Dienstplan!$C$8:$AG$19)))))</f>
        <v>3</v>
      </c>
      <c r="F8" s="302">
        <f>SUMPRODUCT((ISNUMBER(SEARCH($Y7,Dienstplan!$B$8:$B$19))*(ISNUMBER(SEARCH($AB$6,Dienstplan!$C$8:$AG$19)))))</f>
        <v>6</v>
      </c>
      <c r="G8" s="302">
        <f>SUMPRODUCT((ISNUMBER(SEARCH($Y7,Dienstplan!$B$8:$B$19))*(ISNUMBER(SEARCH(AB$7,Dienstplan!$C$8:$AG$19)))))-H8</f>
        <v>3</v>
      </c>
      <c r="H8" s="302">
        <f>SUMPRODUCT((ISNUMBER(SEARCH($Y7,Dienstplan!$B$8:$B$19))*(ISNUMBER(SEARCH(AB$8,Dienstplan!$C$8:$AG$19)))))</f>
        <v>0</v>
      </c>
      <c r="I8" s="302">
        <f>SUMPRODUCT((ISNUMBER(SEARCH($Y7,Dienstplan!$B$8:$B$19))*(ISNUMBER(SEARCH($AB$9,Dienstplan!$C$8:$AG$19)))))</f>
        <v>0</v>
      </c>
      <c r="J8" s="302">
        <f>SUMPRODUCT((ISNUMBER(SEARCH($Y7,Dienstplan!$B$8:$B$19))*(ISNUMBER(SEARCH($AB$10,Dienstplan!$C$8:$AG$19)))))</f>
        <v>0</v>
      </c>
      <c r="K8" s="302">
        <f>SUMPRODUCT((ISNUMBER(SEARCH($Y7,Dienstplan!$B$8:$B$19))*(ISNUMBER(SEARCH($AB$11,Dienstplan!$C$8:$AG$19)))))-$Q8</f>
        <v>9</v>
      </c>
      <c r="L8" s="302">
        <f>SUMPRODUCT((ISNUMBER(SEARCH($Y7,Dienstplan!$B$8:$B$19))*(ISNUMBER(SEARCH($AB$12,Dienstplan!$C$8:$AG$19)))))</f>
        <v>0</v>
      </c>
      <c r="M8" s="302">
        <f>SUMPRODUCT((ISNUMBER(SEARCH($Y7,Dienstplan!$B$8:$B$19))*(ISNUMBER(SEARCH($AB$13,Dienstplan!$C$8:$AG$19)))))</f>
        <v>0</v>
      </c>
      <c r="N8" s="302">
        <f>SUMPRODUCT((ISNUMBER(SEARCH($Y7,Dienstplan!$B$8:$B$19))*(ISNUMBER(SEARCH($AB$14,Dienstplan!$C$8:$AG$19)))))</f>
        <v>0</v>
      </c>
      <c r="O8" s="302">
        <f>SUMPRODUCT((ISNUMBER(SEARCH($Y7,Dienstplan!$B$8:$B$19))*(ISNUMBER(SEARCH($AB$15,Dienstplan!$C$8:$AG$19)))))</f>
        <v>0</v>
      </c>
      <c r="P8" s="302">
        <f>SUMPRODUCT((ISNUMBER(SEARCH($Y7,Dienstplan!$B$8:$B$19))*(ISNUMBER(SEARCH($AB$16,Dienstplan!$C$8:$AG$19)))))</f>
        <v>2</v>
      </c>
      <c r="Q8" s="302">
        <f>SUMPRODUCT((ISNUMBER(SEARCH($Y7,Dienstplan!$B$8:$B$19))*(ISNUMBER(SEARCH($AB$17,Dienstplan!$C$8:$AG$19)))))</f>
        <v>0</v>
      </c>
      <c r="R8" s="302">
        <f>SUMPRODUCT((ISNUMBER(SEARCH($Y7,Dienstplan!$B$8:$B$19))*(ISNUMBER(SEARCH($AB$18,Dienstplan!$C$8:$AG$19)))))</f>
        <v>0</v>
      </c>
      <c r="S8" s="308">
        <f>SUMPRODUCT((ISNUMBER(SEARCH($Y7,Dienstplan!$B$8:$B$19))*(ISNUMBER(SEARCH($AB$19,Dienstplan!$C$8:$AG$19)))))</f>
        <v>0</v>
      </c>
      <c r="T8" s="302">
        <f t="shared" si="3"/>
        <v>147</v>
      </c>
      <c r="U8" s="330">
        <f>SUM($C8*Frueh_1+$D8*Spaet_1+$E8*Nacht_1+$F8*Normal_1+$I8*Sonderd_1-$J8*Krie_B+$K8*Krie_B+$L8*EH_Kurs+$M8*Koor_taet+$N8*Sekre_1+$O8*Krie_B+$R8*Krie_B+$P8*Krie_B+$Q8*Krie_B+G8*Unt_I+H8*Unt_II)</f>
        <v>168.5</v>
      </c>
      <c r="V8" s="308">
        <f t="shared" si="4"/>
        <v>21.5</v>
      </c>
      <c r="W8" s="318">
        <f t="shared" si="5"/>
        <v>21.5</v>
      </c>
      <c r="X8" s="325"/>
      <c r="Y8" s="304" t="str">
        <f t="shared" si="1"/>
        <v>Zeller</v>
      </c>
      <c r="Z8" s="326">
        <v>8.0</v>
      </c>
      <c r="AA8" s="327">
        <v>0.0</v>
      </c>
      <c r="AB8" s="328" t="s">
        <v>148</v>
      </c>
      <c r="AC8" s="326">
        <v>8.0</v>
      </c>
      <c r="AD8" s="327">
        <f t="shared" si="2"/>
        <v>240</v>
      </c>
      <c r="AF8" s="306"/>
      <c r="AG8" s="306"/>
      <c r="AH8" s="306"/>
      <c r="AI8" s="306"/>
    </row>
    <row r="9" ht="12.75" customHeight="1">
      <c r="A9" s="308"/>
      <c r="B9" s="329" t="str">
        <f>Dienstplan!B13</f>
        <v>Zeller</v>
      </c>
      <c r="C9" s="302">
        <f>SUMPRODUCT((ISNUMBER(SEARCH($Y8,Dienstplan!$B$8:$B$19))*(ISNUMBER(SEARCH($AB$3,Dienstplan!$C$8:$AG$19)))))-D9</f>
        <v>9</v>
      </c>
      <c r="D9" s="302">
        <f>SUMPRODUCT((ISNUMBER(SEARCH($Y8,Dienstplan!$B$8:$B$19))*(ISNUMBER(SEARCH($AB$4,Dienstplan!$C$8:$AG$19)))))</f>
        <v>4</v>
      </c>
      <c r="E9" s="302">
        <f>SUMPRODUCT((ISNUMBER(SEARCH($Y8,Dienstplan!$B$8:$B$19))*(ISNUMBER(SEARCH($AB$5,Dienstplan!$C$8:$AG$19)))))</f>
        <v>0</v>
      </c>
      <c r="F9" s="302">
        <f>SUMPRODUCT((ISNUMBER(SEARCH($Y8,Dienstplan!$B$8:$B$19))*(ISNUMBER(SEARCH($AB$6,Dienstplan!$C$8:$AG$19)))))</f>
        <v>0</v>
      </c>
      <c r="G9" s="302">
        <f>SUMPRODUCT((ISNUMBER(SEARCH($Y8,Dienstplan!$B$8:$B$19))*(ISNUMBER(SEARCH(AB$7,Dienstplan!$C$8:$AG$19)))))-H9</f>
        <v>3</v>
      </c>
      <c r="H9" s="302">
        <f>SUMPRODUCT((ISNUMBER(SEARCH($Y8,Dienstplan!$B$8:$B$19))*(ISNUMBER(SEARCH(AB$8,Dienstplan!$C$8:$AG$19)))))</f>
        <v>0</v>
      </c>
      <c r="I9" s="302">
        <f>SUMPRODUCT((ISNUMBER(SEARCH($Y8,Dienstplan!$B$8:$B$19))*(ISNUMBER(SEARCH($AB$9,Dienstplan!$C$8:$AG$19)))))</f>
        <v>0</v>
      </c>
      <c r="J9" s="302">
        <f>SUMPRODUCT((ISNUMBER(SEARCH($Y8,Dienstplan!$B$8:$B$19))*(ISNUMBER(SEARCH($AB$10,Dienstplan!$C$8:$AG$19)))))</f>
        <v>1</v>
      </c>
      <c r="K9" s="302">
        <f>SUMPRODUCT((ISNUMBER(SEARCH($Y8,Dienstplan!$B$8:$B$19))*(ISNUMBER(SEARCH($AB$11,Dienstplan!$C$8:$AG$19)))))-$Q9</f>
        <v>3</v>
      </c>
      <c r="L9" s="302">
        <f>SUMPRODUCT((ISNUMBER(SEARCH($Y8,Dienstplan!$B$8:$B$19))*(ISNUMBER(SEARCH($AB$12,Dienstplan!$C$8:$AG$19)))))</f>
        <v>0</v>
      </c>
      <c r="M9" s="302">
        <f>SUMPRODUCT((ISNUMBER(SEARCH($Y8,Dienstplan!$B$8:$B$19))*(ISNUMBER(SEARCH($AB$13,Dienstplan!$C$8:$AG$19)))))</f>
        <v>0</v>
      </c>
      <c r="N9" s="302">
        <f>SUMPRODUCT((ISNUMBER(SEARCH($Y8,Dienstplan!$B$8:$B$19))*(ISNUMBER(SEARCH($AB$14,Dienstplan!$C$8:$AG$19)))))</f>
        <v>0</v>
      </c>
      <c r="O9" s="302">
        <f>SUMPRODUCT((ISNUMBER(SEARCH($Y8,Dienstplan!$B$8:$B$19))*(ISNUMBER(SEARCH($AB$15,Dienstplan!$C$8:$AG$19)))))</f>
        <v>0</v>
      </c>
      <c r="P9" s="302">
        <f>SUMPRODUCT((ISNUMBER(SEARCH($Y8,Dienstplan!$B$8:$B$19))*(ISNUMBER(SEARCH($AB$16,Dienstplan!$C$8:$AG$19)))))</f>
        <v>1</v>
      </c>
      <c r="Q9" s="302">
        <f>SUMPRODUCT((ISNUMBER(SEARCH($Y8,Dienstplan!$B$8:$B$19))*(ISNUMBER(SEARCH($AB$17,Dienstplan!$C$8:$AG$19)))))</f>
        <v>0</v>
      </c>
      <c r="R9" s="302">
        <f>SUMPRODUCT((ISNUMBER(SEARCH($Y8,Dienstplan!$B$8:$B$19))*(ISNUMBER(SEARCH($AB$18,Dienstplan!$C$8:$AG$19)))))</f>
        <v>0</v>
      </c>
      <c r="S9" s="308">
        <f>SUMPRODUCT((ISNUMBER(SEARCH($Y8,Dienstplan!$B$8:$B$19))*(ISNUMBER(SEARCH($AB$19,Dienstplan!$C$8:$AG$19)))))</f>
        <v>1</v>
      </c>
      <c r="T9" s="302">
        <f t="shared" si="3"/>
        <v>168</v>
      </c>
      <c r="U9" s="330">
        <f>SUM($C9*Frueh_1+$D9*Spaet_1+$E9*Nacht_1+$F9*Normal_1+$I9*Sonderd_1-$J9*Wuert_A+$K9*Wuert_A+$L9*EH_Kurs+$M9*Koor_taet+$N9*Sekre_1+$O9*Wuert_A+$R9*Wuert_A+$P9*Wuert_A+$Q9*Wuert_A+G9*Unt_I+H9*Unt_II)</f>
        <v>143.25</v>
      </c>
      <c r="V9" s="308">
        <f t="shared" si="4"/>
        <v>-24.75</v>
      </c>
      <c r="W9" s="318">
        <f t="shared" si="5"/>
        <v>-24.75</v>
      </c>
      <c r="X9" s="325"/>
      <c r="Y9" s="304" t="str">
        <f t="shared" si="1"/>
        <v>Behrendt</v>
      </c>
      <c r="Z9" s="326">
        <v>7.0</v>
      </c>
      <c r="AA9" s="327">
        <v>0.0</v>
      </c>
      <c r="AB9" s="328" t="s">
        <v>66</v>
      </c>
      <c r="AC9" s="326">
        <v>7.0</v>
      </c>
      <c r="AD9" s="327">
        <f t="shared" ref="AD9:AD13" si="6">SUM(Z10*30)</f>
        <v>96</v>
      </c>
      <c r="AF9" s="306"/>
      <c r="AG9" s="306"/>
      <c r="AH9" s="306"/>
      <c r="AI9" s="306"/>
    </row>
    <row r="10" ht="12.75" customHeight="1">
      <c r="A10" s="308"/>
      <c r="B10" s="329" t="str">
        <f>Dienstplan!B14</f>
        <v>Behrendt</v>
      </c>
      <c r="C10" s="302">
        <f t="array" ref="C10">SUMPRODUCT((ISNUMBER(SEARCH($Y9,Dienstplan!$B$8:$B$19))*(ISNUMBER(SEARCH($AB$3,Dienstplan!$C$8:$AG$19)))))-D10</f>
        <v>0</v>
      </c>
      <c r="D10" s="302">
        <f t="array" ref="D10">SUMPRODUCT((ISNUMBER(SEARCH($Y9,Dienstplan!$B$8:$B$19))*(ISNUMBER(SEARCH($AB$4,Dienstplan!$C$8:$AG$19)))))</f>
        <v>0</v>
      </c>
      <c r="E10" s="302">
        <f t="array" ref="E10">SUMPRODUCT((ISNUMBER(SEARCH($Y9,Dienstplan!$B$8:$B$19))*(ISNUMBER(SEARCH($AB$5,Dienstplan!$C$8:$AG$19)))))</f>
        <v>0</v>
      </c>
      <c r="F10" s="302">
        <f t="array" ref="F10">SUMPRODUCT((ISNUMBER(SEARCH($Y9,Dienstplan!$B$8:$B$19))*(ISNUMBER(SEARCH($AB$6,Dienstplan!$C$8:$AG$19)))))</f>
        <v>0</v>
      </c>
      <c r="G10" s="302">
        <f t="array" ref="G10">SUMPRODUCT((ISNUMBER(SEARCH($Y9,Dienstplan!$B$8:$B$19))*(ISNUMBER(SEARCH(AB$7,Dienstplan!$C$8:$AG$19)))))-H10</f>
        <v>0</v>
      </c>
      <c r="H10" s="302">
        <f t="array" ref="H10">SUMPRODUCT((ISNUMBER(SEARCH($Y9,Dienstplan!$B$8:$B$19))*(ISNUMBER(SEARCH(AB$8,Dienstplan!$C$8:$AG$19)))))</f>
        <v>0</v>
      </c>
      <c r="I10" s="302">
        <f t="array" ref="I10">SUMPRODUCT((ISNUMBER(SEARCH($Y9,Dienstplan!$B$8:$B$19))*(ISNUMBER(SEARCH($AB$9,Dienstplan!$C$8:$AG$19)))))</f>
        <v>0</v>
      </c>
      <c r="J10" s="302">
        <f t="array" ref="J10">SUMPRODUCT((ISNUMBER(SEARCH($Y9,Dienstplan!$B$8:$B$19))*(ISNUMBER(SEARCH($AB$10,Dienstplan!$C$8:$AG$19)))))</f>
        <v>0</v>
      </c>
      <c r="K10" s="302">
        <f t="array" ref="K10">SUMPRODUCT((ISNUMBER(SEARCH($Y9,Dienstplan!$B$8:$B$19))*(ISNUMBER(SEARCH($AB$11,Dienstplan!$C$8:$AG$19)))))-$Q10</f>
        <v>0</v>
      </c>
      <c r="L10" s="302">
        <f t="array" ref="L10">SUMPRODUCT((ISNUMBER(SEARCH($Y9,Dienstplan!$B$8:$B$19))*(ISNUMBER(SEARCH($AB$12,Dienstplan!$C$8:$AG$19)))))</f>
        <v>0</v>
      </c>
      <c r="M10" s="302">
        <f t="array" ref="M10">SUMPRODUCT((ISNUMBER(SEARCH($Y9,Dienstplan!$B$8:$B$19))*(ISNUMBER(SEARCH($AB$13,Dienstplan!$C$8:$AG$19)))))</f>
        <v>0</v>
      </c>
      <c r="N10" s="302">
        <f t="array" ref="N10">SUMPRODUCT((ISNUMBER(SEARCH($Y9,Dienstplan!$B$8:$B$19))*(ISNUMBER(SEARCH($AB$14,Dienstplan!$C$8:$AG$19)))))</f>
        <v>0</v>
      </c>
      <c r="O10" s="302">
        <f t="array" ref="O10">SUMPRODUCT((ISNUMBER(SEARCH($Y9,Dienstplan!$B$8:$B$19))*(ISNUMBER(SEARCH($AB$15,Dienstplan!$C$8:$AG$19)))))</f>
        <v>0</v>
      </c>
      <c r="P10" s="302">
        <f t="array" ref="P10">SUMPRODUCT((ISNUMBER(SEARCH($Y9,Dienstplan!$B$8:$B$19))*(ISNUMBER(SEARCH($AB$16,Dienstplan!$C$8:$AG$19)))))</f>
        <v>0</v>
      </c>
      <c r="Q10" s="302">
        <f t="array" ref="Q10">SUMPRODUCT((ISNUMBER(SEARCH($Y9,Dienstplan!$B$8:$B$19))*(ISNUMBER(SEARCH($AB$17,Dienstplan!$C$8:$AG$19)))))</f>
        <v>0</v>
      </c>
      <c r="R10" s="302">
        <f t="array" ref="R10">SUMPRODUCT((ISNUMBER(SEARCH($Y9,Dienstplan!$B$8:$B$19))*(ISNUMBER(SEARCH($AB$18,Dienstplan!$C$8:$AG$19)))))</f>
        <v>0</v>
      </c>
      <c r="S10" s="308">
        <f t="array" ref="S10">SUMPRODUCT((ISNUMBER(SEARCH($Y9,Dienstplan!$B$8:$B$19))*(ISNUMBER(SEARCH($AB$19,Dienstplan!$C$8:$AG$19)))))</f>
        <v>0</v>
      </c>
      <c r="T10" s="302">
        <f>SUM($F$2*$Z10)</f>
        <v>67.2</v>
      </c>
      <c r="U10" s="330">
        <f>SUM($C10*Frueh_1+$D10*Spaet_1+$E10*Nacht_1+$F10*Normal_1+$I10*Sonderd_1-$J10*Wuert_A+$K10*Wuert_A+$L10*EH_Kurs+$M10*Koor_taet+$N10*Sekre_1+$O10*Wuert_A+$R10*Wuert_A+$P10*Wuert_A+$Q10*Wuert_A+G10*Unt_I+H10*Unt_II)</f>
        <v>0</v>
      </c>
      <c r="V10" s="308">
        <f t="shared" si="4"/>
        <v>-67.2</v>
      </c>
      <c r="W10" s="318">
        <f t="shared" si="5"/>
        <v>-67.2</v>
      </c>
      <c r="X10" s="325"/>
      <c r="Y10" s="304" t="str">
        <f t="shared" si="1"/>
        <v>Krempl</v>
      </c>
      <c r="Z10" s="326">
        <v>3.2</v>
      </c>
      <c r="AA10" s="327">
        <v>0.0</v>
      </c>
      <c r="AB10" s="328" t="s">
        <v>49</v>
      </c>
      <c r="AC10" s="326" t="s">
        <v>139</v>
      </c>
      <c r="AD10" s="327">
        <f t="shared" si="6"/>
        <v>240</v>
      </c>
      <c r="AF10" s="306"/>
      <c r="AG10" s="306"/>
      <c r="AH10" s="306"/>
      <c r="AI10" s="306"/>
    </row>
    <row r="11" ht="12.75" customHeight="1">
      <c r="A11" s="308"/>
      <c r="B11" s="329" t="str">
        <f>Dienstplan!B15</f>
        <v>Krempl</v>
      </c>
      <c r="C11" s="302">
        <f>SUMPRODUCT((ISNUMBER(SEARCH($Y10,Dienstplan!$B$8:$B$19))*(ISNUMBER(SEARCH($AB$3,Dienstplan!$C$8:$AG$19)))))-D11</f>
        <v>0</v>
      </c>
      <c r="D11" s="302">
        <f>SUMPRODUCT((ISNUMBER(SEARCH($Y10,Dienstplan!$B$8:$B$19))*(ISNUMBER(SEARCH($AB$4,Dienstplan!$C$8:$AG$19)))))</f>
        <v>0</v>
      </c>
      <c r="E11" s="302">
        <f>SUMPRODUCT((ISNUMBER(SEARCH($Y10,Dienstplan!$B$8:$B$19))*(ISNUMBER(SEARCH($AB$5,Dienstplan!$C$8:$AG$19)))))</f>
        <v>0</v>
      </c>
      <c r="F11" s="302">
        <f>SUMPRODUCT((ISNUMBER(SEARCH($Y10,Dienstplan!$B$8:$B$19))*(ISNUMBER(SEARCH($AB$6,Dienstplan!$C$8:$AG$19)))))</f>
        <v>0</v>
      </c>
      <c r="G11" s="302">
        <f>SUMPRODUCT((ISNUMBER(SEARCH($Y10,Dienstplan!$B$8:$B$19))*(ISNUMBER(SEARCH(AB$7,Dienstplan!$C$8:$AG$19)))))-H11</f>
        <v>5</v>
      </c>
      <c r="H11" s="302">
        <f>SUMPRODUCT((ISNUMBER(SEARCH($Y10,Dienstplan!$B$8:$B$19))*(ISNUMBER(SEARCH(AB$8,Dienstplan!$C$8:$AG$19)))))</f>
        <v>0</v>
      </c>
      <c r="I11" s="302">
        <f>SUMPRODUCT((ISNUMBER(SEARCH($Y10,Dienstplan!$B$8:$B$19))*(ISNUMBER(SEARCH($AB$9,Dienstplan!$C$8:$AG$19)))))</f>
        <v>0</v>
      </c>
      <c r="J11" s="302">
        <f>SUMPRODUCT((ISNUMBER(SEARCH($Y10,Dienstplan!$B$8:$B$19))*(ISNUMBER(SEARCH($AB$10,Dienstplan!$C$8:$AG$19)))))</f>
        <v>10</v>
      </c>
      <c r="K11" s="302">
        <f>SUMPRODUCT((ISNUMBER(SEARCH($Y10,Dienstplan!$B$8:$B$19))*(ISNUMBER(SEARCH($AB$11,Dienstplan!$C$8:$AG$19)))))-$Q11</f>
        <v>5</v>
      </c>
      <c r="L11" s="302">
        <f>SUMPRODUCT((ISNUMBER(SEARCH($Y10,Dienstplan!$B$8:$B$19))*(ISNUMBER(SEARCH($AB$12,Dienstplan!$C$8:$AG$19)))))</f>
        <v>0</v>
      </c>
      <c r="M11" s="302">
        <f>SUMPRODUCT((ISNUMBER(SEARCH($Y10,Dienstplan!$B$8:$B$19))*(ISNUMBER(SEARCH($AB$13,Dienstplan!$C$8:$AG$19)))))</f>
        <v>0</v>
      </c>
      <c r="N11" s="302">
        <f>SUMPRODUCT((ISNUMBER(SEARCH($Y10,Dienstplan!$B$8:$B$19))*(ISNUMBER(SEARCH($AB$14,Dienstplan!$C$8:$AG$19)))))</f>
        <v>0</v>
      </c>
      <c r="O11" s="302">
        <f>SUMPRODUCT((ISNUMBER(SEARCH($Y10,Dienstplan!$B$8:$B$19))*(ISNUMBER(SEARCH($AB$15,Dienstplan!$C$8:$AG$19)))))</f>
        <v>0</v>
      </c>
      <c r="P11" s="302">
        <f>SUMPRODUCT((ISNUMBER(SEARCH($Y10,Dienstplan!$B$8:$B$19))*(ISNUMBER(SEARCH($AB$16,Dienstplan!$C$8:$AG$19)))))</f>
        <v>2</v>
      </c>
      <c r="Q11" s="302">
        <f>SUMPRODUCT((ISNUMBER(SEARCH($Y10,Dienstplan!$B$8:$B$19))*(ISNUMBER(SEARCH($AB$17,Dienstplan!$C$8:$AG$19)))))</f>
        <v>0</v>
      </c>
      <c r="R11" s="302">
        <f>SUMPRODUCT((ISNUMBER(SEARCH($Y10,Dienstplan!$B$8:$B$19))*(ISNUMBER(SEARCH($AB$18,Dienstplan!$C$8:$AG$19)))))</f>
        <v>0</v>
      </c>
      <c r="S11" s="308">
        <f>SUMPRODUCT((ISNUMBER(SEARCH($Y10,Dienstplan!$B$8:$B$19))*(ISNUMBER(SEARCH($AB$19,Dienstplan!$C$8:$AG$19)))))</f>
        <v>0</v>
      </c>
      <c r="T11" s="302">
        <f t="shared" ref="T11:T14" si="7">SUM($F$2*$Z10)</f>
        <v>67.2</v>
      </c>
      <c r="U11" s="330">
        <f>SUM($C11*Frueh_1+$D11*Spaet_1+$E11*Nacht_1+$F11*Normal_1+$I11*Sonderd_1-$J11*Krem_E+$K11*Krem_E+$L11*EH_Kurs+$M11*Koor_taet+$N11*Sekre_1+$O11*Krem_E+$R11*Krem_E+$P11*Krem_E+$Q11*Krem_E+G11*Unt_I+H11*Unt_II)</f>
        <v>30.4</v>
      </c>
      <c r="V11" s="308">
        <f t="shared" si="4"/>
        <v>-36.8</v>
      </c>
      <c r="W11" s="318">
        <f t="shared" ref="W11:W14" si="8">V11+AA9</f>
        <v>-36.8</v>
      </c>
      <c r="X11" s="325"/>
      <c r="Y11" s="304" t="str">
        <f t="shared" si="1"/>
        <v>Putschler</v>
      </c>
      <c r="Z11" s="326">
        <v>8.0</v>
      </c>
      <c r="AA11" s="327">
        <v>0.0</v>
      </c>
      <c r="AB11" s="328" t="s">
        <v>58</v>
      </c>
      <c r="AC11" s="326" t="s">
        <v>139</v>
      </c>
      <c r="AD11" s="327">
        <f t="shared" si="6"/>
        <v>210</v>
      </c>
      <c r="AF11" s="306"/>
      <c r="AG11" s="306"/>
      <c r="AH11" s="306"/>
      <c r="AI11" s="306"/>
      <c r="AJ11" s="304"/>
    </row>
    <row r="12" ht="12.75" customHeight="1">
      <c r="A12" s="308"/>
      <c r="B12" s="329" t="str">
        <f>Dienstplan!B16</f>
        <v>Putschler</v>
      </c>
      <c r="C12" s="302">
        <f>SUMPRODUCT((ISNUMBER(SEARCH($Y11,Dienstplan!$B$8:$B$19))*(ISNUMBER(SEARCH($AB$3,Dienstplan!$C$8:$AG$19)))))-D12</f>
        <v>0</v>
      </c>
      <c r="D12" s="302">
        <f>SUMPRODUCT((ISNUMBER(SEARCH($Y11,Dienstplan!$B$8:$B$19))*(ISNUMBER(SEARCH($AB$4,Dienstplan!$C$8:$AG$19)))))</f>
        <v>0</v>
      </c>
      <c r="E12" s="302">
        <f>SUMPRODUCT((ISNUMBER(SEARCH($Y11,Dienstplan!$B$8:$B$19))*(ISNUMBER(SEARCH($AB$5,Dienstplan!$C$8:$AG$19)))))</f>
        <v>0</v>
      </c>
      <c r="F12" s="302">
        <f>SUMPRODUCT((ISNUMBER(SEARCH($Y11,Dienstplan!$B$8:$B$19))*(ISNUMBER(SEARCH($AB$6,Dienstplan!$C$8:$AG$19)))))</f>
        <v>0</v>
      </c>
      <c r="G12" s="302">
        <f>SUMPRODUCT((ISNUMBER(SEARCH($Y11,Dienstplan!$B$8:$B$19))*(ISNUMBER(SEARCH(AB$7,Dienstplan!$C$8:$AG$19)))))-H12</f>
        <v>0</v>
      </c>
      <c r="H12" s="302">
        <f>SUMPRODUCT((ISNUMBER(SEARCH($Y11,Dienstplan!$B$8:$B$19))*(ISNUMBER(SEARCH(AB$8,Dienstplan!$C$8:$AG$19)))))</f>
        <v>0</v>
      </c>
      <c r="I12" s="302">
        <f>SUMPRODUCT((ISNUMBER(SEARCH($Y11,Dienstplan!$B$8:$B$19))*(ISNUMBER(SEARCH($AB$9,Dienstplan!$C$8:$AG$19)))))</f>
        <v>0</v>
      </c>
      <c r="J12" s="302">
        <f>SUMPRODUCT((ISNUMBER(SEARCH($Y11,Dienstplan!$B$8:$B$19))*(ISNUMBER(SEARCH($AB$10,Dienstplan!$C$8:$AG$19)))))</f>
        <v>0</v>
      </c>
      <c r="K12" s="302">
        <f>SUMPRODUCT((ISNUMBER(SEARCH($Y11,Dienstplan!$B$8:$B$19))*(ISNUMBER(SEARCH($AB$11,Dienstplan!$C$8:$AG$19)))))-$Q12</f>
        <v>3</v>
      </c>
      <c r="L12" s="302">
        <f>SUMPRODUCT((ISNUMBER(SEARCH($Y11,Dienstplan!$B$8:$B$19))*(ISNUMBER(SEARCH($AB$12,Dienstplan!$C$8:$AG$19)))))</f>
        <v>0</v>
      </c>
      <c r="M12" s="302">
        <f>SUMPRODUCT((ISNUMBER(SEARCH($Y11,Dienstplan!$B$8:$B$19))*(ISNUMBER(SEARCH($AB$13,Dienstplan!$C$8:$AG$19)))))</f>
        <v>17</v>
      </c>
      <c r="N12" s="302">
        <f>SUMPRODUCT((ISNUMBER(SEARCH($Y11,Dienstplan!$B$8:$B$19))*(ISNUMBER(SEARCH($AB$14,Dienstplan!$C$8:$AG$19)))))</f>
        <v>0</v>
      </c>
      <c r="O12" s="302">
        <f>SUMPRODUCT((ISNUMBER(SEARCH($Y11,Dienstplan!$B$8:$B$19))*(ISNUMBER(SEARCH($AB$15,Dienstplan!$C$8:$AG$19)))))</f>
        <v>0</v>
      </c>
      <c r="P12" s="302">
        <f>SUMPRODUCT((ISNUMBER(SEARCH($Y11,Dienstplan!$B$8:$B$19))*(ISNUMBER(SEARCH($AB$16,Dienstplan!$C$8:$AG$19)))))</f>
        <v>2</v>
      </c>
      <c r="Q12" s="302">
        <f>SUMPRODUCT((ISNUMBER(SEARCH($Y11,Dienstplan!$B$8:$B$19))*(ISNUMBER(SEARCH($AB$17,Dienstplan!$C$8:$AG$19)))))</f>
        <v>0</v>
      </c>
      <c r="R12" s="302">
        <f>SUMPRODUCT((ISNUMBER(SEARCH($Y11,Dienstplan!$B$8:$B$19))*(ISNUMBER(SEARCH($AB$18,Dienstplan!$C$8:$AG$19)))))</f>
        <v>0</v>
      </c>
      <c r="S12" s="308">
        <f>SUMPRODUCT((ISNUMBER(SEARCH($Y11,Dienstplan!$B$8:$B$19))*(ISNUMBER(SEARCH($AB$19,Dienstplan!$C$8:$AG$19)))))</f>
        <v>0</v>
      </c>
      <c r="T12" s="302">
        <f t="shared" si="7"/>
        <v>168</v>
      </c>
      <c r="U12" s="330">
        <f>SUM($C12*Frueh_1+$D12*Spaet_1+$E12*Nacht_1+$F12*Normal_1+$I12*Sonderd_1-$J12*Put_W+$K12*Put_W+$L12*EH_Kurs+$M12*Koor_taet+$N12*Sekre_1+$O12*Put_W+$R12*Put_W+$P12*Put_W+$Q12*Put_W+G12*Unt_I+H12*Unt_II)</f>
        <v>176</v>
      </c>
      <c r="V12" s="308">
        <f t="shared" si="4"/>
        <v>8</v>
      </c>
      <c r="W12" s="318">
        <f t="shared" si="8"/>
        <v>8</v>
      </c>
      <c r="Y12" s="331" t="str">
        <f t="shared" si="1"/>
        <v>Schmidt</v>
      </c>
      <c r="Z12" s="326">
        <v>7.0</v>
      </c>
      <c r="AA12" s="327">
        <v>0.0</v>
      </c>
      <c r="AB12" s="328" t="s">
        <v>55</v>
      </c>
      <c r="AC12" s="326">
        <v>8.0</v>
      </c>
      <c r="AD12" s="327">
        <f t="shared" si="6"/>
        <v>90</v>
      </c>
      <c r="AF12" s="306"/>
      <c r="AG12" s="306"/>
      <c r="AH12" s="306"/>
      <c r="AI12" s="306"/>
    </row>
    <row r="13" ht="12.75" customHeight="1">
      <c r="A13" s="308"/>
      <c r="B13" s="329" t="str">
        <f>Dienstplan!B18</f>
        <v>Schmidt</v>
      </c>
      <c r="C13" s="302">
        <f>SUMPRODUCT((ISNUMBER(SEARCH($Y12,Dienstplan!$B$8:$B$19))*(ISNUMBER(SEARCH($AB$3,Dienstplan!$C$8:$AG$19)))))-D13</f>
        <v>0</v>
      </c>
      <c r="D13" s="302">
        <f>SUMPRODUCT((ISNUMBER(SEARCH($Y12,Dienstplan!$B$8:$B$19))*(ISNUMBER(SEARCH($AB$4,Dienstplan!$C$8:$AG$19)))))</f>
        <v>0</v>
      </c>
      <c r="E13" s="302">
        <f>SUMPRODUCT((ISNUMBER(SEARCH($Y12,Dienstplan!$B$8:$B$19))*(ISNUMBER(SEARCH($AB$5,Dienstplan!$C$8:$AG$19)))))</f>
        <v>0</v>
      </c>
      <c r="F13" s="302">
        <f>SUMPRODUCT((ISNUMBER(SEARCH($Y12,Dienstplan!$B$8:$B$19))*(ISNUMBER(SEARCH($AB$6,Dienstplan!$C$8:$AG$19)))))</f>
        <v>0</v>
      </c>
      <c r="G13" s="302">
        <f>SUMPRODUCT((ISNUMBER(SEARCH($Y12,Dienstplan!$B$8:$B$19))*(ISNUMBER(SEARCH(AB$7,Dienstplan!$C$8:$AG$19)))))-H13</f>
        <v>0</v>
      </c>
      <c r="H13" s="302">
        <f>SUMPRODUCT((ISNUMBER(SEARCH($Y12,Dienstplan!$B$8:$B$19))*(ISNUMBER(SEARCH(AB$8,Dienstplan!$C$8:$AG$19)))))</f>
        <v>0</v>
      </c>
      <c r="I13" s="302">
        <f>SUMPRODUCT((ISNUMBER(SEARCH($Y12,Dienstplan!$B$8:$B$19))*(ISNUMBER(SEARCH($AB$9,Dienstplan!$C$8:$AG$19)))))</f>
        <v>0</v>
      </c>
      <c r="J13" s="302">
        <f>SUMPRODUCT((ISNUMBER(SEARCH($Y12,Dienstplan!$B$8:$B$19))*(ISNUMBER(SEARCH($AB$10,Dienstplan!$C$8:$AG$19)))))</f>
        <v>0</v>
      </c>
      <c r="K13" s="302">
        <f>SUMPRODUCT((ISNUMBER(SEARCH($Y12,Dienstplan!$B$8:$B$19))*(ISNUMBER(SEARCH($AB$11,Dienstplan!$C$8:$AG$19)))))-$Q13</f>
        <v>0</v>
      </c>
      <c r="L13" s="302">
        <f>SUMPRODUCT((ISNUMBER(SEARCH($Y12,Dienstplan!$B$8:$B$19))*(ISNUMBER(SEARCH($AB$12,Dienstplan!$C$8:$AG$19)))))</f>
        <v>0</v>
      </c>
      <c r="M13" s="302">
        <f>SUMPRODUCT((ISNUMBER(SEARCH($Y12,Dienstplan!$B$8:$B$19))*(ISNUMBER(SEARCH($AB$13,Dienstplan!$C$8:$AG$19)))))</f>
        <v>0</v>
      </c>
      <c r="N13" s="302">
        <f>SUMPRODUCT((ISNUMBER(SEARCH($Y12,Dienstplan!$B$8:$B$19))*(ISNUMBER(SEARCH($AB$14,Dienstplan!$C$8:$AG$19)))))</f>
        <v>0</v>
      </c>
      <c r="O13" s="302">
        <f>SUMPRODUCT((ISNUMBER(SEARCH($Y12,Dienstplan!$B$8:$B$19))*(ISNUMBER(SEARCH($AB$15,Dienstplan!$C$8:$AG$19)))))</f>
        <v>0</v>
      </c>
      <c r="P13" s="302">
        <f>SUMPRODUCT((ISNUMBER(SEARCH($Y12,Dienstplan!$B$8:$B$19))*(ISNUMBER(SEARCH($AB$16,Dienstplan!$C$8:$AG$19)))))</f>
        <v>0</v>
      </c>
      <c r="Q13" s="302">
        <f>SUMPRODUCT((ISNUMBER(SEARCH($Y12,Dienstplan!$B$8:$B$19))*(ISNUMBER(SEARCH($AB$17,Dienstplan!$C$8:$AG$19)))))</f>
        <v>0</v>
      </c>
      <c r="R13" s="302">
        <f>SUMPRODUCT((ISNUMBER(SEARCH($Y12,Dienstplan!$B$8:$B$19))*(ISNUMBER(SEARCH($AB$18,Dienstplan!$C$8:$AG$19)))))</f>
        <v>0</v>
      </c>
      <c r="S13" s="308">
        <f>SUMPRODUCT((ISNUMBER(SEARCH($Y12,Dienstplan!$B$8:$B$19))*(ISNUMBER(SEARCH($AB$19,Dienstplan!$C$8:$AG$19)))))</f>
        <v>0</v>
      </c>
      <c r="T13" s="302">
        <f t="shared" si="7"/>
        <v>147</v>
      </c>
      <c r="U13" s="330">
        <f>SUM($C13*Frueh_1+$D13*Spaet_1+$E13*Nacht_1+$F13*Normal_1+$I13*Sonderd_1-$J13*Radi_L+$K13*Radi_L+$L13*EH_Kurs+$M13*Koor_taet+$N13*Sekre_1+$O13*Radi_L+$R13*Radi_L+$P13*Radi_L+$Q13*Radi_L+G13*Unt_I+H13*Unt_II)</f>
        <v>0</v>
      </c>
      <c r="V13" s="308">
        <f t="shared" si="4"/>
        <v>-147</v>
      </c>
      <c r="W13" s="318">
        <f t="shared" si="8"/>
        <v>-147</v>
      </c>
      <c r="Y13" s="331" t="str">
        <f t="shared" si="1"/>
        <v>Radimersky</v>
      </c>
      <c r="Z13" s="326">
        <v>3.0</v>
      </c>
      <c r="AA13" s="327">
        <v>0.0</v>
      </c>
      <c r="AB13" s="328" t="s">
        <v>83</v>
      </c>
      <c r="AC13" s="326">
        <v>8.0</v>
      </c>
      <c r="AD13" s="327">
        <f t="shared" si="6"/>
        <v>0</v>
      </c>
      <c r="AF13" s="306"/>
      <c r="AG13" s="306"/>
      <c r="AH13" s="306"/>
      <c r="AI13" s="306"/>
    </row>
    <row r="14" ht="12.75" customHeight="1">
      <c r="A14" s="308"/>
      <c r="B14" s="329" t="str">
        <f>Dienstplan!B19</f>
        <v>Radimersky</v>
      </c>
      <c r="C14" s="302">
        <f>SUMPRODUCT((ISNUMBER(SEARCH($Y13,Dienstplan!$B$8:$B$19))*(ISNUMBER(SEARCH($AB$3,Dienstplan!$C$8:$AG$19)))))-D14</f>
        <v>0</v>
      </c>
      <c r="D14" s="302">
        <f>SUMPRODUCT((ISNUMBER(SEARCH($Y13,Dienstplan!$B$8:$B$19))*(ISNUMBER(SEARCH($AB$4,Dienstplan!$C$8:$AG$19)))))</f>
        <v>0</v>
      </c>
      <c r="E14" s="302">
        <f>SUMPRODUCT((ISNUMBER(SEARCH($Y13,Dienstplan!$B$8:$B$19))*(ISNUMBER(SEARCH($AB$5,Dienstplan!$C$8:$AG$19)))))</f>
        <v>0</v>
      </c>
      <c r="F14" s="302">
        <f>SUMPRODUCT((ISNUMBER(SEARCH($Y13,Dienstplan!$B$8:$B$19))*(ISNUMBER(SEARCH($AB$6,Dienstplan!$C$8:$AG$19)))))</f>
        <v>0</v>
      </c>
      <c r="G14" s="302">
        <f>SUMPRODUCT((ISNUMBER(SEARCH($Y13,Dienstplan!$B$8:$B$19))*(ISNUMBER(SEARCH(AB$7,Dienstplan!$C$8:$AG$19)))))-H14</f>
        <v>0</v>
      </c>
      <c r="H14" s="302">
        <f>SUMPRODUCT((ISNUMBER(SEARCH($Y13,Dienstplan!$B$8:$B$19))*(ISNUMBER(SEARCH(AB$8,Dienstplan!$C$8:$AG$19)))))</f>
        <v>0</v>
      </c>
      <c r="I14" s="302">
        <f>SUMPRODUCT((ISNUMBER(SEARCH($Y13,Dienstplan!$B$8:$B$19))*(ISNUMBER(SEARCH($AB$9,Dienstplan!$C$8:$AG$19)))))</f>
        <v>0</v>
      </c>
      <c r="J14" s="302">
        <f>SUMPRODUCT((ISNUMBER(SEARCH($Y13,Dienstplan!$B$8:$B$19))*(ISNUMBER(SEARCH($AB$10,Dienstplan!$C$8:$AG$19)))))</f>
        <v>0</v>
      </c>
      <c r="K14" s="302">
        <f>SUMPRODUCT((ISNUMBER(SEARCH($Y13,Dienstplan!$B$8:$B$19))*(ISNUMBER(SEARCH($AB$11,Dienstplan!$C$8:$AG$19)))))-$Q14</f>
        <v>0</v>
      </c>
      <c r="L14" s="302">
        <f>SUMPRODUCT((ISNUMBER(SEARCH($Y13,Dienstplan!$B$8:$B$19))*(ISNUMBER(SEARCH($AB$12,Dienstplan!$C$8:$AG$19)))))</f>
        <v>0</v>
      </c>
      <c r="M14" s="302">
        <f>SUMPRODUCT((ISNUMBER(SEARCH($Y13,Dienstplan!$B$8:$B$19))*(ISNUMBER(SEARCH($AB$13,Dienstplan!$C$8:$AG$19)))))</f>
        <v>0</v>
      </c>
      <c r="N14" s="302">
        <f>SUMPRODUCT((ISNUMBER(SEARCH($Y13,Dienstplan!$B$8:$B$19))*(ISNUMBER(SEARCH($AB$14,Dienstplan!$C$8:$AG$19)))))</f>
        <v>0</v>
      </c>
      <c r="O14" s="302">
        <f>SUMPRODUCT((ISNUMBER(SEARCH($Y13,Dienstplan!$B$8:$B$19))*(ISNUMBER(SEARCH($AB$15,Dienstplan!$C$8:$AG$19)))))</f>
        <v>0</v>
      </c>
      <c r="P14" s="302">
        <f>SUMPRODUCT((ISNUMBER(SEARCH($Y13,Dienstplan!$B$8:$B$19))*(ISNUMBER(SEARCH($AB$16,Dienstplan!$C$8:$AG$19)))))</f>
        <v>0</v>
      </c>
      <c r="Q14" s="302">
        <f>SUMPRODUCT((ISNUMBER(SEARCH($Y13,Dienstplan!$B$8:$B$19))*(ISNUMBER(SEARCH($AB$17,Dienstplan!$C$8:$AG$19)))))</f>
        <v>0</v>
      </c>
      <c r="R14" s="302">
        <f>SUMPRODUCT((ISNUMBER(SEARCH($Y13,Dienstplan!$B$8:$B$19))*(ISNUMBER(SEARCH($AB$18,Dienstplan!$C$8:$AG$19)))))</f>
        <v>0</v>
      </c>
      <c r="S14" s="308">
        <f>SUMPRODUCT((ISNUMBER(SEARCH($Y13,Dienstplan!$B$8:$B$19))*(ISNUMBER(SEARCH($AB$19,Dienstplan!$C$8:$AG$19)))))</f>
        <v>0</v>
      </c>
      <c r="T14" s="302">
        <f t="shared" si="7"/>
        <v>63</v>
      </c>
      <c r="U14" s="330">
        <f>SUM($C14*Frueh_1+$D14*Spaet_1+$E14*Nacht_1+$F14*Normal_1+$I14*Sonderd_1-$J14*Fortenb+$K14*Fortenb+$L14*EH_Kurs+$M14*Koor_taet+$N14*Sekre_1+$O14*Fortenb+$R14*Fortenb+$P14*Fortenb+$Q14*Fortenb+G14*Unt_I+H14*Unt_II)</f>
        <v>0</v>
      </c>
      <c r="V14" s="308">
        <f t="shared" si="4"/>
        <v>-63</v>
      </c>
      <c r="W14" s="318">
        <f t="shared" si="8"/>
        <v>-63</v>
      </c>
      <c r="Y14" s="332"/>
      <c r="Z14" s="326"/>
      <c r="AA14" s="327"/>
      <c r="AB14" s="328" t="s">
        <v>149</v>
      </c>
      <c r="AC14" s="333">
        <v>7.0</v>
      </c>
      <c r="AD14" s="327">
        <f t="shared" ref="AD14:AD15" si="9">SUM(Z14*30)</f>
        <v>0</v>
      </c>
      <c r="AF14" s="306"/>
      <c r="AG14" s="306"/>
      <c r="AH14" s="306"/>
      <c r="AI14" s="306"/>
    </row>
    <row r="15" ht="12.75" customHeight="1">
      <c r="A15" s="308"/>
      <c r="B15" s="329"/>
      <c r="S15" s="308"/>
      <c r="U15" s="302">
        <f>SUM($C15*Frueh_1+$D15*Spaet_1+$E15*Nacht_1+$F15*Normal_1+$I15*Sonderd_1-$J15*Velten+$K15*Velten+$L15*EH_Kurs+$M15*Koor_taet+$N15*Sekre_1+$O15*Velten+$R15*Velten+$P15*Velten+$Q15*Velten+G15*Unt_I+H15*Unt_II)</f>
        <v>0</v>
      </c>
      <c r="V15" s="308"/>
      <c r="W15" s="318"/>
      <c r="Y15" s="332"/>
      <c r="Z15" s="326"/>
      <c r="AA15" s="327"/>
      <c r="AB15" s="328" t="s">
        <v>57</v>
      </c>
      <c r="AC15" s="333" t="s">
        <v>139</v>
      </c>
      <c r="AD15" s="327">
        <f t="shared" si="9"/>
        <v>0</v>
      </c>
      <c r="AF15" s="306"/>
      <c r="AG15" s="306"/>
      <c r="AH15" s="306"/>
      <c r="AI15" s="306"/>
    </row>
    <row r="16" ht="12.75" customHeight="1">
      <c r="A16" s="308"/>
      <c r="B16" s="329" t="s">
        <v>134</v>
      </c>
      <c r="C16" s="303">
        <f t="shared" ref="C16:S16" si="10">SUM(C4:C15)</f>
        <v>20</v>
      </c>
      <c r="D16" s="303">
        <f t="shared" si="10"/>
        <v>13</v>
      </c>
      <c r="E16" s="303">
        <f t="shared" si="10"/>
        <v>18</v>
      </c>
      <c r="F16" s="303">
        <f t="shared" si="10"/>
        <v>17</v>
      </c>
      <c r="G16" s="303">
        <f t="shared" si="10"/>
        <v>16</v>
      </c>
      <c r="H16" s="303">
        <f t="shared" si="10"/>
        <v>0</v>
      </c>
      <c r="I16" s="303">
        <f t="shared" si="10"/>
        <v>2</v>
      </c>
      <c r="J16" s="303">
        <f t="shared" si="10"/>
        <v>12</v>
      </c>
      <c r="K16" s="303">
        <f t="shared" si="10"/>
        <v>25</v>
      </c>
      <c r="L16" s="303">
        <f t="shared" si="10"/>
        <v>0</v>
      </c>
      <c r="M16" s="303">
        <f t="shared" si="10"/>
        <v>17</v>
      </c>
      <c r="N16" s="303">
        <f t="shared" si="10"/>
        <v>0</v>
      </c>
      <c r="O16" s="303">
        <f t="shared" si="10"/>
        <v>0</v>
      </c>
      <c r="P16" s="303">
        <f t="shared" si="10"/>
        <v>10</v>
      </c>
      <c r="Q16" s="303">
        <f t="shared" si="10"/>
        <v>0</v>
      </c>
      <c r="R16" s="303">
        <f t="shared" si="10"/>
        <v>0</v>
      </c>
      <c r="S16" s="323">
        <f t="shared" si="10"/>
        <v>4</v>
      </c>
      <c r="T16" s="303">
        <f t="shared" ref="T16:U16" si="11">SUM(T4:T13)</f>
        <v>1394.4</v>
      </c>
      <c r="U16" s="303">
        <f t="shared" si="11"/>
        <v>968.4</v>
      </c>
      <c r="V16" s="323"/>
      <c r="W16" s="324"/>
      <c r="Y16" s="332"/>
      <c r="Z16" s="326"/>
      <c r="AA16" s="327"/>
      <c r="AB16" s="328" t="s">
        <v>125</v>
      </c>
      <c r="AC16" s="333" t="s">
        <v>139</v>
      </c>
      <c r="AD16" s="334">
        <f>SUM(AD3:AD10)</f>
        <v>1686</v>
      </c>
      <c r="AF16" s="306"/>
      <c r="AG16" s="306"/>
      <c r="AH16" s="306"/>
      <c r="AI16" s="306"/>
    </row>
    <row r="17" ht="12.75" customHeight="1">
      <c r="A17" s="308"/>
      <c r="B17" s="309"/>
      <c r="C17" s="300"/>
      <c r="D17" s="300"/>
      <c r="E17" s="300"/>
      <c r="F17" s="300"/>
      <c r="G17" s="300"/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300"/>
      <c r="S17" s="309"/>
      <c r="T17" s="300"/>
      <c r="U17" s="300"/>
      <c r="V17" s="309"/>
      <c r="W17" s="310"/>
      <c r="X17" s="325"/>
      <c r="Y17" s="332"/>
      <c r="Z17" s="326"/>
      <c r="AA17" s="327"/>
      <c r="AB17" s="328" t="s">
        <v>150</v>
      </c>
      <c r="AC17" s="333" t="s">
        <v>139</v>
      </c>
      <c r="AF17" s="306"/>
      <c r="AG17" s="306"/>
      <c r="AH17" s="306"/>
      <c r="AI17" s="306"/>
    </row>
    <row r="18" ht="12.75" customHeight="1">
      <c r="A18" s="308"/>
      <c r="B18" s="312" t="s">
        <v>151</v>
      </c>
      <c r="D18" s="313" t="s">
        <v>136</v>
      </c>
      <c r="E18" s="314"/>
      <c r="F18" s="315">
        <v>20.0</v>
      </c>
      <c r="G18" s="316"/>
      <c r="H18" s="317"/>
      <c r="I18" s="313" t="s">
        <v>137</v>
      </c>
      <c r="J18" s="314"/>
      <c r="K18" s="315">
        <v>4.0</v>
      </c>
      <c r="S18" s="308"/>
      <c r="V18" s="308"/>
      <c r="W18" s="318"/>
      <c r="X18" s="335"/>
      <c r="Y18" s="332"/>
      <c r="Z18" s="326"/>
      <c r="AA18" s="327"/>
      <c r="AB18" s="328" t="s">
        <v>152</v>
      </c>
      <c r="AC18" s="333" t="s">
        <v>139</v>
      </c>
    </row>
    <row r="19" ht="12.75" customHeight="1">
      <c r="A19" s="308"/>
      <c r="B19" s="308"/>
      <c r="C19" s="303" t="str">
        <f>Jahr!C3</f>
        <v>FI</v>
      </c>
      <c r="D19" s="303" t="str">
        <f>Jahr!D3</f>
        <v>FII</v>
      </c>
      <c r="E19" s="303" t="str">
        <f>Jahr!E3</f>
        <v>SI</v>
      </c>
      <c r="F19" s="303" t="str">
        <f>Jahr!F3</f>
        <v>NI</v>
      </c>
      <c r="G19" s="303" t="str">
        <f>Jahr!G3</f>
        <v>DI</v>
      </c>
      <c r="H19" s="303" t="str">
        <f>Jahr!H3</f>
        <v>DII</v>
      </c>
      <c r="I19" s="303" t="str">
        <f>Jahr!I3</f>
        <v>SD</v>
      </c>
      <c r="J19" s="303" t="str">
        <f>Jahr!J3</f>
        <v>GT</v>
      </c>
      <c r="K19" s="303" t="str">
        <f>Jahr!K3</f>
        <v>U</v>
      </c>
      <c r="L19" s="303" t="str">
        <f>Jahr!L3</f>
        <v>EH</v>
      </c>
      <c r="M19" s="303" t="str">
        <f>Jahr!M3</f>
        <v>KT</v>
      </c>
      <c r="N19" s="303" t="str">
        <f>Jahr!N3</f>
        <v>Sek</v>
      </c>
      <c r="O19" s="303" t="str">
        <f>Jahr!O3</f>
        <v>Fobi</v>
      </c>
      <c r="P19" s="303" t="str">
        <f>Jahr!P3</f>
        <v>A</v>
      </c>
      <c r="Q19" s="303" t="str">
        <f>Jahr!Q3</f>
        <v>Kur</v>
      </c>
      <c r="R19" s="303" t="str">
        <f>Jahr!R3</f>
        <v>FZC</v>
      </c>
      <c r="S19" s="303" t="str">
        <f>Jahr!S3</f>
        <v>NST</v>
      </c>
      <c r="T19" s="303" t="s">
        <v>144</v>
      </c>
      <c r="U19" s="303" t="s">
        <v>145</v>
      </c>
      <c r="V19" s="323" t="s">
        <v>146</v>
      </c>
      <c r="W19" s="324" t="s">
        <v>147</v>
      </c>
      <c r="X19" s="325"/>
      <c r="Y19" s="336"/>
      <c r="Z19" s="337"/>
      <c r="AA19" s="338"/>
      <c r="AB19" s="339" t="s">
        <v>54</v>
      </c>
      <c r="AC19" s="337" t="s">
        <v>139</v>
      </c>
      <c r="AE19" s="304"/>
    </row>
    <row r="20" ht="12.75" customHeight="1">
      <c r="A20" s="308"/>
      <c r="B20" s="329" t="str">
        <f t="shared" ref="B20:B30" si="12">B4</f>
        <v>Breig</v>
      </c>
      <c r="C20" s="302">
        <f>SUMPRODUCT((ISNUMBER(SEARCH($Y3,Dienstplan!$B$8:$B$19))*(ISNUMBER(SEARCH($AB$3,Dienstplan!$AH$8:$BJ$19)))))-D20</f>
        <v>6</v>
      </c>
      <c r="D20" s="302">
        <f>SUMPRODUCT((ISNUMBER(SEARCH($Y3,Dienstplan!$B$8:$B$19))*(ISNUMBER(SEARCH($AB$4,Dienstplan!$AH$8:$BJ$19)))))</f>
        <v>2</v>
      </c>
      <c r="E20" s="302">
        <f>SUMPRODUCT((ISNUMBER(SEARCH($Y3,Dienstplan!$B$8:$B$19))*(ISNUMBER(SEARCH($AB$5,Dienstplan!$AH$8:$BJ$19)))))</f>
        <v>5</v>
      </c>
      <c r="F20" s="302">
        <f>SUMPRODUCT((ISNUMBER(SEARCH($Y3,Dienstplan!$B$8:$B$19))*(ISNUMBER(SEARCH($AB$6,Dienstplan!$AH$8:$BJ$19)))))</f>
        <v>5</v>
      </c>
      <c r="G20" s="302">
        <f>SUMPRODUCT((ISNUMBER(SEARCH($Y3,Dienstplan!$B$8:$B$19))*(ISNUMBER(SEARCH($AB$7,Dienstplan!$AH$8:$BJ$19)))))-H20</f>
        <v>1</v>
      </c>
      <c r="H20" s="302">
        <f>SUMPRODUCT((ISNUMBER(SEARCH($Y3,Dienstplan!$B$8:$B$19))*(ISNUMBER(SEARCH($AB$8,Dienstplan!$AH$8:$BJ$19)))))</f>
        <v>0</v>
      </c>
      <c r="I20" s="302">
        <f>SUMPRODUCT((ISNUMBER(SEARCH($Y3,Dienstplan!$B$8:$B$19))*(ISNUMBER(SEARCH($AB$9,Dienstplan!$AH$8:$BJ$19)))))</f>
        <v>0</v>
      </c>
      <c r="J20" s="302">
        <f>SUMPRODUCT((ISNUMBER(SEARCH($Y3,Dienstplan!$B$8:$B$19))*(ISNUMBER(SEARCH($AB$10,Dienstplan!$AH$8:$BJ$19)))))</f>
        <v>0</v>
      </c>
      <c r="K20" s="302">
        <f>SUMPRODUCT((ISNUMBER(SEARCH($Y3,Dienstplan!$B$8:$B$19))*(ISNUMBER(SEARCH($AB$11,Dienstplan!$AH$8:$BJ$19)))))-$Q20</f>
        <v>0</v>
      </c>
      <c r="L20" s="302">
        <f>SUMPRODUCT((ISNUMBER(SEARCH($Y3,Dienstplan!$B$8:$B$19))*(ISNUMBER(SEARCH($AB$12,Dienstplan!$AH$8:$BJ$19)))))</f>
        <v>1</v>
      </c>
      <c r="M20" s="302">
        <f>SUMPRODUCT((ISNUMBER(SEARCH($Y3,Dienstplan!$B$8:$B$19))*(ISNUMBER(SEARCH($AB$13,Dienstplan!$AH$8:$BJ$19)))))</f>
        <v>0</v>
      </c>
      <c r="N20" s="302">
        <f>SUMPRODUCT((ISNUMBER(SEARCH($Y3,Dienstplan!$B$8:$B$19))*(ISNUMBER(SEARCH($AB$14,Dienstplan!$AH$8:$BJ$19)))))</f>
        <v>0</v>
      </c>
      <c r="O20" s="302">
        <f>SUMPRODUCT((ISNUMBER(SEARCH($Y3,Dienstplan!$B$8:$B$19))*(ISNUMBER(SEARCH($AB$15,Dienstplan!$AH$8:$BJ$19)))))</f>
        <v>0</v>
      </c>
      <c r="P20" s="302">
        <f>SUMPRODUCT((ISNUMBER(SEARCH($Y3,Dienstplan!$B$8:$B$19))*(ISNUMBER(SEARCH($AB$16,Dienstplan!$AH$8:$BJ$19)))))</f>
        <v>0</v>
      </c>
      <c r="Q20" s="302">
        <f>SUMPRODUCT((ISNUMBER(SEARCH($Y3,Dienstplan!$B$8:$B$19))*(ISNUMBER(SEARCH($AB$17,Dienstplan!$AH$8:$BJ$19)))))</f>
        <v>0</v>
      </c>
      <c r="R20" s="302">
        <f>SUMPRODUCT((ISNUMBER(SEARCH($Y3,Dienstplan!$B$8:$B$19))*(ISNUMBER(SEARCH($AB$18,Dienstplan!$AH$8:$BJ$19)))))</f>
        <v>0</v>
      </c>
      <c r="S20" s="308">
        <f>SUMPRODUCT((ISNUMBER(SEARCH($Y3,Dienstplan!$B$8:$B$19))*(ISNUMBER(SEARCH($AB$19,Dienstplan!$AH$8:$BJ$19)))))</f>
        <v>1</v>
      </c>
      <c r="T20" s="302">
        <f t="shared" ref="T20:T30" si="13">SUM($F$18*$Z3)</f>
        <v>160</v>
      </c>
      <c r="U20" s="330">
        <f>SUM($C20*Frueh_1+$D20*Spaet_1+$E20*Nacht_1+$F20*Normal_1+$I20*Sonderd_1-$J20*Velten+$K20*Velten+$L20*EH_Kurs+$M20*Koor_taet+$N20*Sekre_1+$O20*Velten+$R20*Velten+$P20*Velten+$Q20*Velten+G20*Velt_M+H20*Velt_M)</f>
        <v>149.5</v>
      </c>
      <c r="V20" s="308">
        <f t="shared" ref="V20:V30" si="14">SUM($U20-$T20)</f>
        <v>-10.5</v>
      </c>
      <c r="W20" s="318">
        <f t="shared" ref="W20:W30" si="15">V20+W4</f>
        <v>-32.5</v>
      </c>
      <c r="Y20" s="340"/>
    </row>
    <row r="21" ht="12.75" customHeight="1">
      <c r="A21" s="308"/>
      <c r="B21" s="329" t="str">
        <f t="shared" si="12"/>
        <v>Siebert</v>
      </c>
      <c r="C21" s="302">
        <f>SUMPRODUCT((ISNUMBER(SEARCH($Y4,Dienstplan!$B$8:$B$19))*(ISNUMBER(SEARCH($AB$3,Dienstplan!$AH$8:$BJ$19)))))-D21</f>
        <v>1</v>
      </c>
      <c r="D21" s="302">
        <f>SUMPRODUCT((ISNUMBER(SEARCH($Y4,Dienstplan!$B$8:$B$19))*(ISNUMBER(SEARCH($AB$4,Dienstplan!$AH$8:$BJ$19)))))</f>
        <v>2</v>
      </c>
      <c r="E21" s="302">
        <f>SUMPRODUCT((ISNUMBER(SEARCH($Y4,Dienstplan!$B$8:$B$19))*(ISNUMBER(SEARCH($AB$5,Dienstplan!$AH$8:$BJ$19)))))</f>
        <v>5</v>
      </c>
      <c r="F21" s="302">
        <f>SUMPRODUCT((ISNUMBER(SEARCH($Y4,Dienstplan!$B$8:$B$19))*(ISNUMBER(SEARCH($AB$6,Dienstplan!$AH$8:$BJ$19)))))</f>
        <v>11</v>
      </c>
      <c r="G21" s="302">
        <f>SUMPRODUCT((ISNUMBER(SEARCH($Y4,Dienstplan!$B$8:$B$19))*(ISNUMBER(SEARCH($AB$7,Dienstplan!$AH$8:$BJ$19)))))-H21</f>
        <v>0</v>
      </c>
      <c r="H21" s="302">
        <f>SUMPRODUCT((ISNUMBER(SEARCH($Y4,Dienstplan!$B$8:$B$19))*(ISNUMBER(SEARCH($AB$8,Dienstplan!$AH$8:$BJ$19)))))</f>
        <v>0</v>
      </c>
      <c r="I21" s="302">
        <f>SUMPRODUCT((ISNUMBER(SEARCH($Y4,Dienstplan!$B$8:$B$19))*(ISNUMBER(SEARCH($AB$9,Dienstplan!$AH$8:$BJ$19)))))</f>
        <v>0</v>
      </c>
      <c r="J21" s="302">
        <f>SUMPRODUCT((ISNUMBER(SEARCH($Y4,Dienstplan!$B$8:$B$19))*(ISNUMBER(SEARCH($AB$10,Dienstplan!$AH$8:$BJ$19)))))</f>
        <v>0</v>
      </c>
      <c r="K21" s="302">
        <f>SUMPRODUCT((ISNUMBER(SEARCH($Y4,Dienstplan!$B$8:$B$19))*(ISNUMBER(SEARCH($AB$11,Dienstplan!$AH$8:$BJ$19)))))-$Q21</f>
        <v>2</v>
      </c>
      <c r="L21" s="302">
        <f>SUMPRODUCT((ISNUMBER(SEARCH($Y4,Dienstplan!$B$8:$B$19))*(ISNUMBER(SEARCH($AB$12,Dienstplan!$AH$8:$BJ$19)))))</f>
        <v>0</v>
      </c>
      <c r="M21" s="302">
        <f>SUMPRODUCT((ISNUMBER(SEARCH($Y4,Dienstplan!$B$8:$B$19))*(ISNUMBER(SEARCH($AB$13,Dienstplan!$AH$8:$BJ$19)))))</f>
        <v>0</v>
      </c>
      <c r="N21" s="302">
        <f>SUMPRODUCT((ISNUMBER(SEARCH($Y4,Dienstplan!$B$8:$B$19))*(ISNUMBER(SEARCH($AB$14,Dienstplan!$AH$8:$BJ$19)))))</f>
        <v>0</v>
      </c>
      <c r="O21" s="302">
        <f>SUMPRODUCT((ISNUMBER(SEARCH($Y4,Dienstplan!$B$8:$B$19))*(ISNUMBER(SEARCH($AB$15,Dienstplan!$AH$8:$BJ$19)))))</f>
        <v>0</v>
      </c>
      <c r="P21" s="302">
        <f>SUMPRODUCT((ISNUMBER(SEARCH($Y4,Dienstplan!$B$8:$B$19))*(ISNUMBER(SEARCH($AB$16,Dienstplan!$AH$8:$BJ$19)))))</f>
        <v>0</v>
      </c>
      <c r="Q21" s="302">
        <f>SUMPRODUCT((ISNUMBER(SEARCH($Y4,Dienstplan!$B$8:$B$19))*(ISNUMBER(SEARCH($AB$17,Dienstplan!$AH$8:$BJ$19)))))</f>
        <v>0</v>
      </c>
      <c r="R21" s="302">
        <f>SUMPRODUCT((ISNUMBER(SEARCH($Y4,Dienstplan!$B$8:$B$19))*(ISNUMBER(SEARCH($AB$18,Dienstplan!$AH$8:$BJ$19)))))</f>
        <v>0</v>
      </c>
      <c r="S21" s="308">
        <f>SUMPRODUCT((ISNUMBER(SEARCH($Y4,Dienstplan!$B$8:$B$19))*(ISNUMBER(SEARCH($AB$19,Dienstplan!$AH$8:$BJ$19)))))</f>
        <v>1</v>
      </c>
      <c r="T21" s="302">
        <f t="shared" si="13"/>
        <v>140</v>
      </c>
      <c r="U21" s="330">
        <f>SUM($C21*Frueh_1+$D21*Spaet_1+$E21*Nacht_1+$F21*Normal_1+$I21*Sonderd_1-$J21*Brue_H+$K21*Brue_H+$L21*EH_Kurs+$M21*Koor_taet+$N21*Sekre_1+$O21*Brue_H+$R21*Brue_H+$P21*Brue_H+$Q21*Brue_H+G21*Brue_H+H21*Brue_H)</f>
        <v>156.25</v>
      </c>
      <c r="V21" s="308">
        <f t="shared" si="14"/>
        <v>16.25</v>
      </c>
      <c r="W21" s="318">
        <f t="shared" si="15"/>
        <v>24.25</v>
      </c>
      <c r="Y21" s="341" t="s">
        <v>153</v>
      </c>
      <c r="Z21" s="342"/>
      <c r="AA21" s="342"/>
      <c r="AB21" s="343"/>
    </row>
    <row r="22" ht="12.75" customHeight="1">
      <c r="A22" s="308"/>
      <c r="B22" s="329" t="str">
        <f t="shared" si="12"/>
        <v>Jochim</v>
      </c>
      <c r="C22" s="302">
        <f>SUMPRODUCT((ISNUMBER(SEARCH($Y5,Dienstplan!$B$8:$B$19))*(ISNUMBER(SEARCH($AB$3,Dienstplan!$AH$8:$BJ$19)))))-D22</f>
        <v>0</v>
      </c>
      <c r="D22" s="302">
        <f>SUMPRODUCT((ISNUMBER(SEARCH($Y5,Dienstplan!$B$8:$B$19))*(ISNUMBER(SEARCH($AB$4,Dienstplan!$AH$8:$BJ$19)))))</f>
        <v>0</v>
      </c>
      <c r="E22" s="302">
        <f>SUMPRODUCT((ISNUMBER(SEARCH($Y5,Dienstplan!$B$8:$B$19))*(ISNUMBER(SEARCH($AB$5,Dienstplan!$AH$8:$BJ$19)))))</f>
        <v>0</v>
      </c>
      <c r="F22" s="302">
        <f>SUMPRODUCT((ISNUMBER(SEARCH($Y5,Dienstplan!$B$8:$B$19))*(ISNUMBER(SEARCH($AB$6,Dienstplan!$AH$8:$BJ$19)))))</f>
        <v>0</v>
      </c>
      <c r="G22" s="302">
        <f>SUMPRODUCT((ISNUMBER(SEARCH($Y5,Dienstplan!$B$8:$B$19))*(ISNUMBER(SEARCH($AB$7,Dienstplan!$AH$8:$BJ$19)))))-H22</f>
        <v>3</v>
      </c>
      <c r="H22" s="302">
        <f>SUMPRODUCT((ISNUMBER(SEARCH($Y5,Dienstplan!$B$8:$B$19))*(ISNUMBER(SEARCH($AB$8,Dienstplan!$AH$8:$BJ$19)))))</f>
        <v>0</v>
      </c>
      <c r="I22" s="302">
        <f>SUMPRODUCT((ISNUMBER(SEARCH($Y5,Dienstplan!$B$8:$B$19))*(ISNUMBER(SEARCH($AB$9,Dienstplan!$AH$8:$BJ$19)))))</f>
        <v>0</v>
      </c>
      <c r="J22" s="302">
        <f>SUMPRODUCT((ISNUMBER(SEARCH($Y5,Dienstplan!$B$8:$B$19))*(ISNUMBER(SEARCH($AB$10,Dienstplan!$AH$8:$BJ$19)))))</f>
        <v>0</v>
      </c>
      <c r="K22" s="302">
        <f>SUMPRODUCT((ISNUMBER(SEARCH($Y5,Dienstplan!$B$8:$B$19))*(ISNUMBER(SEARCH($AB$11,Dienstplan!$AH$8:$BJ$19)))))-$Q22</f>
        <v>0</v>
      </c>
      <c r="L22" s="302">
        <f>SUMPRODUCT((ISNUMBER(SEARCH($Y5,Dienstplan!$B$8:$B$19))*(ISNUMBER(SEARCH($AB$12,Dienstplan!$AH$8:$BJ$19)))))</f>
        <v>0</v>
      </c>
      <c r="M22" s="302">
        <f>SUMPRODUCT((ISNUMBER(SEARCH($Y5,Dienstplan!$B$8:$B$19))*(ISNUMBER(SEARCH($AB$13,Dienstplan!$AH$8:$BJ$19)))))</f>
        <v>0</v>
      </c>
      <c r="N22" s="302">
        <f>SUMPRODUCT((ISNUMBER(SEARCH($Y5,Dienstplan!$B$8:$B$19))*(ISNUMBER(SEARCH($AB$14,Dienstplan!$AH$8:$BJ$19)))))</f>
        <v>0</v>
      </c>
      <c r="O22" s="302">
        <f>SUMPRODUCT((ISNUMBER(SEARCH($Y5,Dienstplan!$B$8:$B$19))*(ISNUMBER(SEARCH($AB$15,Dienstplan!$AH$8:$BJ$19)))))</f>
        <v>0</v>
      </c>
      <c r="P22" s="302">
        <f>SUMPRODUCT((ISNUMBER(SEARCH($Y5,Dienstplan!$B$8:$B$19))*(ISNUMBER(SEARCH($AB$16,Dienstplan!$AH$8:$BJ$19)))))</f>
        <v>0</v>
      </c>
      <c r="Q22" s="302">
        <f>SUMPRODUCT((ISNUMBER(SEARCH($Y5,Dienstplan!$B$8:$B$19))*(ISNUMBER(SEARCH($AB$17,Dienstplan!$AH$8:$BJ$19)))))</f>
        <v>0</v>
      </c>
      <c r="R22" s="302">
        <f>SUMPRODUCT((ISNUMBER(SEARCH($Y5,Dienstplan!$B$8:$B$19))*(ISNUMBER(SEARCH($AB$18,Dienstplan!$AH$8:$BJ$19)))))</f>
        <v>0</v>
      </c>
      <c r="S22" s="308">
        <f>SUMPRODUCT((ISNUMBER(SEARCH($Y5,Dienstplan!$B$8:$B$19))*(ISNUMBER(SEARCH($AB$19,Dienstplan!$AH$8:$BJ$19)))))</f>
        <v>0</v>
      </c>
      <c r="T22" s="302">
        <f t="shared" si="13"/>
        <v>140</v>
      </c>
      <c r="U22" s="330">
        <f>SUM($C22*Frueh_1+$D22*Spaet_1+$E22*Nacht_1+$F22*Normal_1+$I22*Sonderd_1-$J22*Rath_M+$K22*Rath_M+$L22*EH_Kurs+$M22*Koor_taet+$N22*Sekre_1+$O22*Rath_M+$R22*Rath_M+$P22*Rath_M+$Q22*Rath_M+G22*Rath_M+H22*Rath_M)</f>
        <v>21</v>
      </c>
      <c r="V22" s="308">
        <f t="shared" si="14"/>
        <v>-119</v>
      </c>
      <c r="W22" s="318">
        <f t="shared" si="15"/>
        <v>-266</v>
      </c>
      <c r="Y22" s="344" t="s">
        <v>154</v>
      </c>
      <c r="Z22" s="345"/>
      <c r="AA22" s="346">
        <f>$T$16+$T$32+$T$48+$T$64+$T$80+$T$96</f>
        <v>7840.8</v>
      </c>
      <c r="AB22" s="347"/>
      <c r="AE22" s="304"/>
      <c r="AF22" s="304"/>
    </row>
    <row r="23" ht="12.75" customHeight="1">
      <c r="A23" s="308"/>
      <c r="B23" s="329" t="str">
        <f t="shared" si="12"/>
        <v>Wunsch</v>
      </c>
      <c r="C23" s="302">
        <f>SUMPRODUCT((ISNUMBER(SEARCH($Y6,Dienstplan!$B$8:$B$19))*(ISNUMBER(SEARCH($AB$3,Dienstplan!$AH$8:$BJ$19)))))-D23</f>
        <v>2</v>
      </c>
      <c r="D23" s="302">
        <f>SUMPRODUCT((ISNUMBER(SEARCH($Y6,Dienstplan!$B$8:$B$19))*(ISNUMBER(SEARCH($AB$4,Dienstplan!$AH$8:$BJ$19)))))</f>
        <v>2</v>
      </c>
      <c r="E23" s="302">
        <f>SUMPRODUCT((ISNUMBER(SEARCH($Y6,Dienstplan!$B$8:$B$19))*(ISNUMBER(SEARCH($AB$5,Dienstplan!$AH$8:$BJ$19)))))</f>
        <v>0</v>
      </c>
      <c r="F23" s="302">
        <f>SUMPRODUCT((ISNUMBER(SEARCH($Y6,Dienstplan!$B$8:$B$19))*(ISNUMBER(SEARCH($AB$6,Dienstplan!$AH$8:$BJ$19)))))</f>
        <v>5</v>
      </c>
      <c r="G23" s="302">
        <f>SUMPRODUCT((ISNUMBER(SEARCH($Y6,Dienstplan!$B$8:$B$19))*(ISNUMBER(SEARCH($AB$7,Dienstplan!$AH$8:$BJ$19)))))-H23</f>
        <v>1</v>
      </c>
      <c r="H23" s="302">
        <f>SUMPRODUCT((ISNUMBER(SEARCH($Y6,Dienstplan!$B$8:$B$19))*(ISNUMBER(SEARCH($AB$8,Dienstplan!$AH$8:$BJ$19)))))</f>
        <v>0</v>
      </c>
      <c r="I23" s="302">
        <f>SUMPRODUCT((ISNUMBER(SEARCH($Y6,Dienstplan!$B$8:$B$19))*(ISNUMBER(SEARCH($AB$9,Dienstplan!$AH$8:$BJ$19)))))</f>
        <v>3</v>
      </c>
      <c r="J23" s="302">
        <f>SUMPRODUCT((ISNUMBER(SEARCH($Y6,Dienstplan!$B$8:$B$19))*(ISNUMBER(SEARCH($AB$10,Dienstplan!$AH$8:$BJ$19)))))</f>
        <v>0</v>
      </c>
      <c r="K23" s="302">
        <f>SUMPRODUCT((ISNUMBER(SEARCH($Y6,Dienstplan!$B$8:$B$19))*(ISNUMBER(SEARCH($AB$11,Dienstplan!$AH$8:$BJ$19)))))-$Q23</f>
        <v>2</v>
      </c>
      <c r="L23" s="302">
        <f>SUMPRODUCT((ISNUMBER(SEARCH($Y6,Dienstplan!$B$8:$B$19))*(ISNUMBER(SEARCH($AB$12,Dienstplan!$AH$8:$BJ$19)))))</f>
        <v>2</v>
      </c>
      <c r="M23" s="302">
        <f>SUMPRODUCT((ISNUMBER(SEARCH($Y6,Dienstplan!$B$8:$B$19))*(ISNUMBER(SEARCH($AB$13,Dienstplan!$AH$8:$BJ$19)))))</f>
        <v>0</v>
      </c>
      <c r="N23" s="302">
        <f>SUMPRODUCT((ISNUMBER(SEARCH($Y6,Dienstplan!$B$8:$B$19))*(ISNUMBER(SEARCH($AB$14,Dienstplan!$AH$8:$BJ$19)))))</f>
        <v>0</v>
      </c>
      <c r="O23" s="302">
        <f>SUMPRODUCT((ISNUMBER(SEARCH($Y6,Dienstplan!$B$8:$B$19))*(ISNUMBER(SEARCH($AB$15,Dienstplan!$AH$8:$BJ$19)))))</f>
        <v>2</v>
      </c>
      <c r="P23" s="302">
        <f>SUMPRODUCT((ISNUMBER(SEARCH($Y6,Dienstplan!$B$8:$B$19))*(ISNUMBER(SEARCH($AB$16,Dienstplan!$AH$8:$BJ$19)))))</f>
        <v>0</v>
      </c>
      <c r="Q23" s="302">
        <f>SUMPRODUCT((ISNUMBER(SEARCH($Y6,Dienstplan!$B$8:$B$19))*(ISNUMBER(SEARCH($AB$17,Dienstplan!$AH$8:$BJ$19)))))</f>
        <v>0</v>
      </c>
      <c r="R23" s="302">
        <f>SUMPRODUCT((ISNUMBER(SEARCH($Y6,Dienstplan!$B$8:$B$19))*(ISNUMBER(SEARCH($AB$18,Dienstplan!$AH$8:$BJ$19)))))</f>
        <v>0</v>
      </c>
      <c r="S23" s="308">
        <f>SUMPRODUCT((ISNUMBER(SEARCH($Y6,Dienstplan!$B$8:$B$19))*(ISNUMBER(SEARCH($AB$19,Dienstplan!$AH$8:$BJ$19)))))</f>
        <v>1</v>
      </c>
      <c r="T23" s="302">
        <f t="shared" si="13"/>
        <v>160</v>
      </c>
      <c r="U23" s="330">
        <f>SUM($C23*Frueh_1+$D23*Spaet_1+$E23*Nacht_1+$F23*Normal_1+$I23*Sonderd_1-$J23*Scho_K+$K23*Scho_K+$L23*EH_Kurs+$M23*Koor_taet+$N23*Sekre_1+$O23*Scho_K+$R23*Scho_K+$P23*Scho_K+$Q23*Scho_K+G23*Scho_K+H23*Scho_K)</f>
        <v>144</v>
      </c>
      <c r="V23" s="308">
        <f t="shared" si="14"/>
        <v>-16</v>
      </c>
      <c r="W23" s="318">
        <f t="shared" si="15"/>
        <v>-34.75</v>
      </c>
      <c r="Y23" s="348" t="s">
        <v>155</v>
      </c>
      <c r="Z23" s="48"/>
      <c r="AA23" s="346">
        <f>$U$16+$U$32+$U$48+$U$64+$U$80+$U$96</f>
        <v>4300.25</v>
      </c>
      <c r="AB23" s="347"/>
      <c r="AE23" s="304"/>
      <c r="AF23" s="304"/>
    </row>
    <row r="24" ht="12.75" customHeight="1">
      <c r="A24" s="308"/>
      <c r="B24" s="329" t="str">
        <f t="shared" si="12"/>
        <v>Göpfrich</v>
      </c>
      <c r="C24" s="302">
        <f>SUMPRODUCT((ISNUMBER(SEARCH($Y7,Dienstplan!$B$8:$B$19))*(ISNUMBER(SEARCH($AB$3,Dienstplan!$AH$8:$BJ$19)))))-D24</f>
        <v>5</v>
      </c>
      <c r="D24" s="302">
        <f>SUMPRODUCT((ISNUMBER(SEARCH($Y7,Dienstplan!$B$8:$B$19))*(ISNUMBER(SEARCH($AB$4,Dienstplan!$AH$8:$BJ$19)))))</f>
        <v>0</v>
      </c>
      <c r="E24" s="302">
        <f>SUMPRODUCT((ISNUMBER(SEARCH($Y7,Dienstplan!$B$8:$B$19))*(ISNUMBER(SEARCH($AB$5,Dienstplan!$AH$8:$BJ$19)))))</f>
        <v>5</v>
      </c>
      <c r="F24" s="302">
        <f>SUMPRODUCT((ISNUMBER(SEARCH($Y7,Dienstplan!$B$8:$B$19))*(ISNUMBER(SEARCH($AB$6,Dienstplan!$AH$8:$BJ$19)))))</f>
        <v>1</v>
      </c>
      <c r="G24" s="302">
        <f>SUMPRODUCT((ISNUMBER(SEARCH($Y7,Dienstplan!$B$8:$B$19))*(ISNUMBER(SEARCH($AB$7,Dienstplan!$AH$8:$BJ$19)))))-H24</f>
        <v>2</v>
      </c>
      <c r="H24" s="302">
        <f>SUMPRODUCT((ISNUMBER(SEARCH($Y7,Dienstplan!$B$8:$B$19))*(ISNUMBER(SEARCH($AB$8,Dienstplan!$AH$8:$BJ$19)))))</f>
        <v>0</v>
      </c>
      <c r="I24" s="302">
        <f>SUMPRODUCT((ISNUMBER(SEARCH($Y7,Dienstplan!$B$8:$B$19))*(ISNUMBER(SEARCH($AB$9,Dienstplan!$AH$8:$BJ$19)))))</f>
        <v>2</v>
      </c>
      <c r="J24" s="302">
        <f>SUMPRODUCT((ISNUMBER(SEARCH($Y7,Dienstplan!$B$8:$B$19))*(ISNUMBER(SEARCH($AB$10,Dienstplan!$AH$8:$BJ$19)))))</f>
        <v>2</v>
      </c>
      <c r="K24" s="302">
        <f>SUMPRODUCT((ISNUMBER(SEARCH($Y7,Dienstplan!$B$8:$B$19))*(ISNUMBER(SEARCH($AB$11,Dienstplan!$AH$8:$BJ$19)))))-$Q24</f>
        <v>2</v>
      </c>
      <c r="L24" s="302">
        <f>SUMPRODUCT((ISNUMBER(SEARCH($Y7,Dienstplan!$B$8:$B$19))*(ISNUMBER(SEARCH($AB$12,Dienstplan!$AH$8:$BJ$19)))))</f>
        <v>0</v>
      </c>
      <c r="M24" s="302">
        <f>SUMPRODUCT((ISNUMBER(SEARCH($Y7,Dienstplan!$B$8:$B$19))*(ISNUMBER(SEARCH($AB$13,Dienstplan!$AH$8:$BJ$19)))))</f>
        <v>0</v>
      </c>
      <c r="N24" s="302">
        <f>SUMPRODUCT((ISNUMBER(SEARCH($Y7,Dienstplan!$B$8:$B$19))*(ISNUMBER(SEARCH($AB$14,Dienstplan!$AH$8:$BJ$19)))))</f>
        <v>0</v>
      </c>
      <c r="O24" s="302">
        <f>SUMPRODUCT((ISNUMBER(SEARCH($Y7,Dienstplan!$B$8:$B$19))*(ISNUMBER(SEARCH($AB$15,Dienstplan!$AH$8:$BJ$19)))))</f>
        <v>2</v>
      </c>
      <c r="P24" s="302">
        <f>SUMPRODUCT((ISNUMBER(SEARCH($Y7,Dienstplan!$B$8:$B$19))*(ISNUMBER(SEARCH($AB$16,Dienstplan!$AH$8:$BJ$19)))))</f>
        <v>0</v>
      </c>
      <c r="Q24" s="302">
        <f>SUMPRODUCT((ISNUMBER(SEARCH($Y7,Dienstplan!$B$8:$B$19))*(ISNUMBER(SEARCH($AB$17,Dienstplan!$AH$8:$BJ$19)))))</f>
        <v>0</v>
      </c>
      <c r="R24" s="302">
        <f>SUMPRODUCT((ISNUMBER(SEARCH($Y7,Dienstplan!$B$8:$B$19))*(ISNUMBER(SEARCH($AB$18,Dienstplan!$AH$8:$BJ$19)))))</f>
        <v>0</v>
      </c>
      <c r="S24" s="308">
        <f>SUMPRODUCT((ISNUMBER(SEARCH($Y7,Dienstplan!$B$8:$B$19))*(ISNUMBER(SEARCH($AB$19,Dienstplan!$AH$8:$BJ$19)))))</f>
        <v>1</v>
      </c>
      <c r="T24" s="302">
        <f t="shared" si="13"/>
        <v>140</v>
      </c>
      <c r="U24" s="330">
        <f>SUM($C24*Frueh_1+$D24*Spaet_1+$E24*Nacht_1+$F24*Normal_1+$I24*Sonderd_1-$J24*Krie_B+$K24*Krie_B+$L24*EH_Kurs+$M24*Koor_taet+$N24*Sekre_1+$O24*Krie_B+$R24*Krie_B+$P24*Krie_B+$Q24*Krie_B+G24*Krie_B+H24*Krie_B)</f>
        <v>123.25</v>
      </c>
      <c r="V24" s="308">
        <f t="shared" si="14"/>
        <v>-16.75</v>
      </c>
      <c r="W24" s="318">
        <f t="shared" si="15"/>
        <v>4.75</v>
      </c>
      <c r="Y24" s="349" t="s">
        <v>146</v>
      </c>
      <c r="Z24" s="350"/>
      <c r="AA24" s="351">
        <f>AA23-AA22</f>
        <v>-3540.55</v>
      </c>
      <c r="AB24" s="352"/>
    </row>
    <row r="25" ht="12.75" customHeight="1">
      <c r="A25" s="308"/>
      <c r="B25" s="329" t="str">
        <f t="shared" si="12"/>
        <v>Zeller</v>
      </c>
      <c r="C25" s="302">
        <f t="array" ref="C25">SUMPRODUCT((ISNUMBER(SEARCH(Y8,Dienstplan!$B$8:$B$19))*(ISNUMBER(SEARCH($AB$3,Dienstplan!$AH$8:$BJ$19)))))-D25</f>
        <v>9</v>
      </c>
      <c r="D25" s="302">
        <f t="array" ref="D25">SUMPRODUCT((ISNUMBER(SEARCH(Y8,Dienstplan!$B$8:$B$19))*(ISNUMBER(SEARCH($AB$4,Dienstplan!$AH$8:$BJ$19)))))</f>
        <v>0</v>
      </c>
      <c r="E25" s="302">
        <f t="array" ref="E25">SUMPRODUCT((ISNUMBER(SEARCH(Y8,Dienstplan!$B$8:$B$19))*(ISNUMBER(SEARCH($AB$5,Dienstplan!$AH$8:$BJ$19)))))</f>
        <v>5</v>
      </c>
      <c r="F25" s="302">
        <f t="array" ref="F25">SUMPRODUCT((ISNUMBER(SEARCH(Y8,Dienstplan!$B$8:$B$19))*(ISNUMBER(SEARCH($AB$6,Dienstplan!$AH$8:$BJ$19)))))</f>
        <v>5</v>
      </c>
      <c r="G25" s="302">
        <f t="array" ref="G25">SUMPRODUCT((ISNUMBER(SEARCH(Y8,Dienstplan!$B$8:$B$19))*(ISNUMBER(SEARCH($AB$7,Dienstplan!$AH$8:$BJ$19)))))-H25</f>
        <v>0</v>
      </c>
      <c r="H25" s="302">
        <f t="array" ref="H25">SUMPRODUCT((ISNUMBER(SEARCH(Y8,Dienstplan!$B$8:$B$19))*(ISNUMBER(SEARCH($AB$8,Dienstplan!$AH$8:$BJ$19)))))</f>
        <v>0</v>
      </c>
      <c r="I25" s="302">
        <f t="array" ref="I25">SUMPRODUCT((ISNUMBER(SEARCH(Y8,Dienstplan!$B$8:$B$19))*(ISNUMBER(SEARCH($AB$9,Dienstplan!$AH$8:$BJ$19)))))</f>
        <v>0</v>
      </c>
      <c r="J25" s="302">
        <f t="array" ref="J25">SUMPRODUCT((ISNUMBER(SEARCH(Y8,Dienstplan!$B$8:$B$19))*(ISNUMBER(SEARCH($AB$10,Dienstplan!$AH$8:$BJ$19)))))</f>
        <v>1</v>
      </c>
      <c r="K25" s="302">
        <f t="array" ref="K25">SUMPRODUCT((ISNUMBER(SEARCH(Y8,Dienstplan!$B$8:$B$19))*(ISNUMBER(SEARCH($AB$11,Dienstplan!$AH$8:$BJ$19)))))-$Q25</f>
        <v>0</v>
      </c>
      <c r="L25" s="302">
        <f t="array" ref="L25">SUMPRODUCT((ISNUMBER(SEARCH(Y8,Dienstplan!$B$8:$B$19))*(ISNUMBER(SEARCH($AB$12,Dienstplan!$AH$8:$BJ$19)))))</f>
        <v>0</v>
      </c>
      <c r="M25" s="302">
        <f t="array" ref="M25">SUMPRODUCT((ISNUMBER(SEARCH(Y8,Dienstplan!$B$8:$B$19))*(ISNUMBER(SEARCH($AB$13,Dienstplan!$AH$8:$BJ$19)))))</f>
        <v>0</v>
      </c>
      <c r="N25" s="302">
        <f t="array" ref="N25">SUMPRODUCT((ISNUMBER(SEARCH(Y8,Dienstplan!$B$8:$B$19))*(ISNUMBER(SEARCH($AB$14,Dienstplan!$AH$8:$BJ$19)))))</f>
        <v>0</v>
      </c>
      <c r="O25" s="302">
        <f t="array" ref="O25">SUMPRODUCT((ISNUMBER(SEARCH(Y8,Dienstplan!$B$8:$B$19))*(ISNUMBER(SEARCH($AB$15,Dienstplan!$AH$8:$BJ$19)))))</f>
        <v>0</v>
      </c>
      <c r="P25" s="302">
        <f t="array" ref="P25">SUMPRODUCT((ISNUMBER(SEARCH(Y8,Dienstplan!$B$8:$B$19))*(ISNUMBER(SEARCH($AB$16,Dienstplan!$AH$8:$BJ$19)))))</f>
        <v>0</v>
      </c>
      <c r="Q25" s="302">
        <f t="array" ref="Q25">SUMPRODUCT((ISNUMBER(SEARCH(Y8,Dienstplan!$B$8:$B$19))*(ISNUMBER(SEARCH($AB$17,Dienstplan!$AH$8:$BJ$19)))))</f>
        <v>0</v>
      </c>
      <c r="R25" s="302">
        <f t="array" ref="R25">SUMPRODUCT((ISNUMBER(SEARCH(Y8,Dienstplan!$B$8:$B$19))*(ISNUMBER(SEARCH($AB$18,Dienstplan!$AH$8:$BJ$19)))))</f>
        <v>0</v>
      </c>
      <c r="S25" s="308">
        <f t="array" ref="S25">SUMPRODUCT((ISNUMBER(SEARCH(Y8,Dienstplan!$B$8:$B$19))*(ISNUMBER(SEARCH($AB$19,Dienstplan!$AH$8:$BJ$19)))))</f>
        <v>2</v>
      </c>
      <c r="T25" s="302">
        <f t="shared" si="13"/>
        <v>160</v>
      </c>
      <c r="U25" s="330">
        <f>SUM($C25*Frueh_1+$D25*Spaet_1+$E25*Nacht_1+$F25*Normal_1+$I25*Sonderd_1-$J25*Muster+$K25*Muster+$L25*EH_Kurs+$M25*Koor_taet+$N25*Sekre_1+$O25*Muster+$P25*Muster+$Q25*Muster+$R25*Muster+G25*Muster+H25*Muster)</f>
        <v>132.25</v>
      </c>
      <c r="V25" s="308">
        <f t="shared" si="14"/>
        <v>-27.75</v>
      </c>
      <c r="W25" s="318">
        <f t="shared" si="15"/>
        <v>-52.5</v>
      </c>
      <c r="Y25" s="353" t="s">
        <v>156</v>
      </c>
      <c r="Z25" s="354"/>
      <c r="AA25" s="355">
        <f>AA24+AD16</f>
        <v>-1854.55</v>
      </c>
      <c r="AB25" s="356"/>
    </row>
    <row r="26" ht="12.75" customHeight="1">
      <c r="A26" s="308"/>
      <c r="B26" s="329" t="str">
        <f t="shared" si="12"/>
        <v>Behrendt</v>
      </c>
      <c r="C26" s="302">
        <f t="array" ref="C26">SUMPRODUCT((ISNUMBER(SEARCH(Y9,Dienstplan!$B$8:$B$19))*(ISNUMBER(SEARCH($AB$3,Dienstplan!$AH$8:$BJ$19)))))-D26</f>
        <v>0</v>
      </c>
      <c r="D26" s="302">
        <f t="array" ref="D26">SUMPRODUCT((ISNUMBER(SEARCH(Y9,Dienstplan!$B$8:$B$19))*(ISNUMBER(SEARCH($AB$4,Dienstplan!$AH$8:$BJ$19)))))</f>
        <v>13</v>
      </c>
      <c r="E26" s="302">
        <f t="array" ref="E26">SUMPRODUCT((ISNUMBER(SEARCH(Y9,Dienstplan!$B$8:$B$19))*(ISNUMBER(SEARCH($AB$5,Dienstplan!$AH$8:$BJ$19)))))</f>
        <v>5</v>
      </c>
      <c r="F26" s="302">
        <f t="array" ref="F26">SUMPRODUCT((ISNUMBER(SEARCH(Y9,Dienstplan!$B$8:$B$19))*(ISNUMBER(SEARCH($AB$6,Dienstplan!$AH$8:$BJ$19)))))</f>
        <v>0</v>
      </c>
      <c r="G26" s="302">
        <f t="array" ref="G26">SUMPRODUCT((ISNUMBER(SEARCH(Y9,Dienstplan!$B$8:$B$19))*(ISNUMBER(SEARCH($AB$7,Dienstplan!$AH$8:$BJ$19)))))-H26</f>
        <v>0</v>
      </c>
      <c r="H26" s="302">
        <f t="array" ref="H26">SUMPRODUCT((ISNUMBER(SEARCH(Y9,Dienstplan!$B$8:$B$19))*(ISNUMBER(SEARCH($AB$8,Dienstplan!$AH$8:$BJ$19)))))</f>
        <v>0</v>
      </c>
      <c r="I26" s="302">
        <f t="array" ref="I26">SUMPRODUCT((ISNUMBER(SEARCH(Y9,Dienstplan!$B$8:$B$19))*(ISNUMBER(SEARCH($AB$9,Dienstplan!$AH$8:$BJ$19)))))</f>
        <v>0</v>
      </c>
      <c r="J26" s="302">
        <f t="array" ref="J26">SUMPRODUCT((ISNUMBER(SEARCH(Y9,Dienstplan!$B$8:$B$19))*(ISNUMBER(SEARCH($AB$10,Dienstplan!$AH$8:$BJ$19)))))</f>
        <v>1</v>
      </c>
      <c r="K26" s="302">
        <f t="array" ref="K26">SUMPRODUCT((ISNUMBER(SEARCH(Y9,Dienstplan!$B$8:$B$19))*(ISNUMBER(SEARCH($AB$11,Dienstplan!$AH$8:$BJ$19)))))-$Q26</f>
        <v>0</v>
      </c>
      <c r="L26" s="302">
        <f t="array" ref="L26">SUMPRODUCT((ISNUMBER(SEARCH(Y9,Dienstplan!$B$8:$B$19))*(ISNUMBER(SEARCH($AB$12,Dienstplan!$AH$8:$BJ$19)))))</f>
        <v>0</v>
      </c>
      <c r="M26" s="302">
        <f t="array" ref="M26">SUMPRODUCT((ISNUMBER(SEARCH(Y9,Dienstplan!$B$8:$B$19))*(ISNUMBER(SEARCH($AB$13,Dienstplan!$AH$8:$BJ$19)))))</f>
        <v>0</v>
      </c>
      <c r="N26" s="302">
        <f t="array" ref="N26">SUMPRODUCT((ISNUMBER(SEARCH(Y9,Dienstplan!$B$8:$B$19))*(ISNUMBER(SEARCH($AB$14,Dienstplan!$AH$8:$BJ$19)))))</f>
        <v>0</v>
      </c>
      <c r="O26" s="302">
        <f t="array" ref="O26">SUMPRODUCT((ISNUMBER(SEARCH(Y9,Dienstplan!$B$8:$B$19))*(ISNUMBER(SEARCH($AB$15,Dienstplan!$AH$8:$BJ$19)))))</f>
        <v>0</v>
      </c>
      <c r="P26" s="302">
        <f t="array" ref="P26">SUMPRODUCT((ISNUMBER(SEARCH(Y9,Dienstplan!$B$8:$B$19))*(ISNUMBER(SEARCH($AB$16,Dienstplan!$AH$8:$BJ$19)))))</f>
        <v>1</v>
      </c>
      <c r="Q26" s="302">
        <f t="array" ref="Q26">SUMPRODUCT((ISNUMBER(SEARCH(Y9,Dienstplan!$B$8:$B$19))*(ISNUMBER(SEARCH($AB$17,Dienstplan!$AH$8:$BJ$19)))))</f>
        <v>0</v>
      </c>
      <c r="R26" s="302">
        <f t="array" ref="R26">SUMPRODUCT((ISNUMBER(SEARCH(Y9,Dienstplan!$B$8:$B$19))*(ISNUMBER(SEARCH($AB$18,Dienstplan!$AH$8:$BJ$19)))))</f>
        <v>0</v>
      </c>
      <c r="S26" s="308">
        <f t="array" ref="S26">SUMPRODUCT((ISNUMBER(SEARCH(Y9,Dienstplan!$B$8:$B$19))*(ISNUMBER(SEARCH($AB$19,Dienstplan!$AH$8:$BJ$19)))))</f>
        <v>0</v>
      </c>
      <c r="T26" s="302">
        <f t="shared" si="13"/>
        <v>140</v>
      </c>
      <c r="U26" s="330">
        <f>SUM($C26*Frueh_1+$D26*Spaet_1+$E26*Nacht_1+$F26*Normal_1+$I26*Sonderd_1-$J26*Muster+$K26*Muster+$L26*EH_Kurs+$M26*Koor_taet+$N26*Sekre_1+$O26*Muster+$P26*Muster+$Q26*Muster+$R26*Muster+G26*Muster+H26*Muster)</f>
        <v>135</v>
      </c>
      <c r="V26" s="308">
        <f t="shared" si="14"/>
        <v>-5</v>
      </c>
      <c r="W26" s="318">
        <f t="shared" si="15"/>
        <v>-72.2</v>
      </c>
    </row>
    <row r="27" ht="12.75" customHeight="1">
      <c r="A27" s="308"/>
      <c r="B27" s="329" t="str">
        <f t="shared" si="12"/>
        <v>Krempl</v>
      </c>
      <c r="C27" s="302">
        <f>SUMPRODUCT((ISNUMBER(SEARCH($Y10,Dienstplan!$B$8:$B$19))*(ISNUMBER(SEARCH($AB$3,Dienstplan!$AH$8:$BJ$19)))))-D27</f>
        <v>0</v>
      </c>
      <c r="D27" s="302">
        <f>SUMPRODUCT((ISNUMBER(SEARCH($Y10,Dienstplan!$B$8:$B$19))*(ISNUMBER(SEARCH($AB$4,Dienstplan!$AH$8:$BJ$19)))))</f>
        <v>1</v>
      </c>
      <c r="E27" s="302">
        <f>SUMPRODUCT((ISNUMBER(SEARCH($Y10,Dienstplan!$B$8:$B$19))*(ISNUMBER(SEARCH($AB$5,Dienstplan!$AH$8:$BJ$19)))))</f>
        <v>0</v>
      </c>
      <c r="F27" s="302">
        <f>SUMPRODUCT((ISNUMBER(SEARCH($Y10,Dienstplan!$B$8:$B$19))*(ISNUMBER(SEARCH($AB$6,Dienstplan!$AH$8:$BJ$19)))))</f>
        <v>0</v>
      </c>
      <c r="G27" s="302">
        <f>SUMPRODUCT((ISNUMBER(SEARCH($Y10,Dienstplan!$B$8:$B$19))*(ISNUMBER(SEARCH($AB$7,Dienstplan!$AH$8:$BJ$19)))))-H27</f>
        <v>4</v>
      </c>
      <c r="H27" s="302">
        <f>SUMPRODUCT((ISNUMBER(SEARCH($Y10,Dienstplan!$B$8:$B$19))*(ISNUMBER(SEARCH($AB$8,Dienstplan!$AH$8:$BJ$19)))))</f>
        <v>0</v>
      </c>
      <c r="I27" s="302">
        <f>SUMPRODUCT((ISNUMBER(SEARCH($Y10,Dienstplan!$B$8:$B$19))*(ISNUMBER(SEARCH($AB$9,Dienstplan!$AH$8:$BJ$19)))))</f>
        <v>1</v>
      </c>
      <c r="J27" s="302">
        <f>SUMPRODUCT((ISNUMBER(SEARCH($Y10,Dienstplan!$B$8:$B$19))*(ISNUMBER(SEARCH($AB$10,Dienstplan!$AH$8:$BJ$19)))))</f>
        <v>9</v>
      </c>
      <c r="K27" s="302">
        <f>SUMPRODUCT((ISNUMBER(SEARCH($Y10,Dienstplan!$B$8:$B$19))*(ISNUMBER(SEARCH($AB$11,Dienstplan!$AH$8:$BJ$19)))))-$Q27</f>
        <v>2</v>
      </c>
      <c r="L27" s="302">
        <f>SUMPRODUCT((ISNUMBER(SEARCH($Y10,Dienstplan!$B$8:$B$19))*(ISNUMBER(SEARCH($AB$12,Dienstplan!$AH$8:$BJ$19)))))</f>
        <v>1</v>
      </c>
      <c r="M27" s="302">
        <f>SUMPRODUCT((ISNUMBER(SEARCH($Y10,Dienstplan!$B$8:$B$19))*(ISNUMBER(SEARCH($AB$13,Dienstplan!$AH$8:$BJ$19)))))</f>
        <v>0</v>
      </c>
      <c r="N27" s="302">
        <f>SUMPRODUCT((ISNUMBER(SEARCH($Y10,Dienstplan!$B$8:$B$19))*(ISNUMBER(SEARCH($AB$14,Dienstplan!$AH$8:$BJ$19)))))</f>
        <v>0</v>
      </c>
      <c r="O27" s="302">
        <f>SUMPRODUCT((ISNUMBER(SEARCH($Y10,Dienstplan!$B$8:$B$19))*(ISNUMBER(SEARCH($AB$15,Dienstplan!$AH$8:$BJ$19)))))</f>
        <v>2</v>
      </c>
      <c r="P27" s="302">
        <f>SUMPRODUCT((ISNUMBER(SEARCH($Y10,Dienstplan!$B$8:$B$19))*(ISNUMBER(SEARCH($AB$16,Dienstplan!$AH$8:$BJ$19)))))</f>
        <v>0</v>
      </c>
      <c r="Q27" s="302">
        <f>SUMPRODUCT((ISNUMBER(SEARCH($Y10,Dienstplan!$B$8:$B$19))*(ISNUMBER(SEARCH($AB$17,Dienstplan!$AH$8:$BJ$19)))))</f>
        <v>0</v>
      </c>
      <c r="R27" s="302">
        <f>SUMPRODUCT((ISNUMBER(SEARCH($Y10,Dienstplan!$B$8:$B$19))*(ISNUMBER(SEARCH($AB$18,Dienstplan!$AH$8:$BJ$19)))))</f>
        <v>0</v>
      </c>
      <c r="S27" s="308">
        <f>SUMPRODUCT((ISNUMBER(SEARCH($Y10,Dienstplan!$B$8:$B$19))*(ISNUMBER(SEARCH($AB$19,Dienstplan!$AH$8:$BJ$19)))))</f>
        <v>0</v>
      </c>
      <c r="T27" s="302">
        <f t="shared" si="13"/>
        <v>64</v>
      </c>
      <c r="U27" s="330">
        <f>SUM($C27*Frueh_1+$D27*Spaet_1+$E27*Nacht_1+$F27*Normal_1+$I27*Sonderd_1-$J27*Krem_E+$K27*Krem_E+$L27*EH_Kurs+$M27*Koor_taet+$N27*Sekre_1+$O27*Krem_E+$R27*Krem_E+$P27*Krem_E+$Q27*Krem_E+G27*Krem_E+H27*Krem_E)</f>
        <v>19.3</v>
      </c>
      <c r="V27" s="308">
        <f t="shared" si="14"/>
        <v>-44.7</v>
      </c>
      <c r="W27" s="318">
        <f t="shared" si="15"/>
        <v>-81.5</v>
      </c>
      <c r="AE27" s="357"/>
      <c r="AF27" s="304"/>
    </row>
    <row r="28" ht="12.75" customHeight="1">
      <c r="A28" s="308"/>
      <c r="B28" s="329" t="str">
        <f t="shared" si="12"/>
        <v>Putschler</v>
      </c>
      <c r="C28" s="302">
        <f>SUMPRODUCT((ISNUMBER(SEARCH($Y11,Dienstplan!$B$8:$B$19))*(ISNUMBER(SEARCH($AB$3,Dienstplan!$AH$8:$BJ$19)))))-D28</f>
        <v>0</v>
      </c>
      <c r="D28" s="302">
        <f>SUMPRODUCT((ISNUMBER(SEARCH($Y11,Dienstplan!$B$8:$B$19))*(ISNUMBER(SEARCH($AB$4,Dienstplan!$AH$8:$BJ$19)))))</f>
        <v>0</v>
      </c>
      <c r="E28" s="302">
        <f>SUMPRODUCT((ISNUMBER(SEARCH($Y11,Dienstplan!$B$8:$B$19))*(ISNUMBER(SEARCH($AB$5,Dienstplan!$AH$8:$BJ$19)))))</f>
        <v>0</v>
      </c>
      <c r="F28" s="302">
        <f>SUMPRODUCT((ISNUMBER(SEARCH($Y11,Dienstplan!$B$8:$B$19))*(ISNUMBER(SEARCH($AB$6,Dienstplan!$AH$8:$BJ$19)))))</f>
        <v>0</v>
      </c>
      <c r="G28" s="302">
        <f>SUMPRODUCT((ISNUMBER(SEARCH($Y11,Dienstplan!$B$8:$B$19))*(ISNUMBER(SEARCH($AB$7,Dienstplan!$AH$8:$BJ$19)))))-H28</f>
        <v>0</v>
      </c>
      <c r="H28" s="302">
        <f>SUMPRODUCT((ISNUMBER(SEARCH($Y11,Dienstplan!$B$8:$B$19))*(ISNUMBER(SEARCH($AB$8,Dienstplan!$AH$8:$BJ$19)))))</f>
        <v>0</v>
      </c>
      <c r="I28" s="302">
        <f>SUMPRODUCT((ISNUMBER(SEARCH($Y11,Dienstplan!$B$8:$B$19))*(ISNUMBER(SEARCH($AB$9,Dienstplan!$AH$8:$BJ$19)))))</f>
        <v>0</v>
      </c>
      <c r="J28" s="302">
        <f>SUMPRODUCT((ISNUMBER(SEARCH($Y11,Dienstplan!$B$8:$B$19))*(ISNUMBER(SEARCH($AB$10,Dienstplan!$AH$8:$BJ$19)))))</f>
        <v>0</v>
      </c>
      <c r="K28" s="302">
        <f>SUMPRODUCT((ISNUMBER(SEARCH($Y11,Dienstplan!$B$8:$B$19))*(ISNUMBER(SEARCH($AB$11,Dienstplan!$AH$8:$BJ$19)))))-$Q28</f>
        <v>5</v>
      </c>
      <c r="L28" s="302">
        <f>SUMPRODUCT((ISNUMBER(SEARCH($Y11,Dienstplan!$B$8:$B$19))*(ISNUMBER(SEARCH($AB$12,Dienstplan!$AH$8:$BJ$19)))))</f>
        <v>1</v>
      </c>
      <c r="M28" s="302">
        <f>SUMPRODUCT((ISNUMBER(SEARCH($Y11,Dienstplan!$B$8:$B$19))*(ISNUMBER(SEARCH($AB$13,Dienstplan!$AH$8:$BJ$19)))))</f>
        <v>12</v>
      </c>
      <c r="N28" s="302">
        <f>SUMPRODUCT((ISNUMBER(SEARCH($Y11,Dienstplan!$B$8:$B$19))*(ISNUMBER(SEARCH($AB$14,Dienstplan!$AH$8:$BJ$19)))))</f>
        <v>0</v>
      </c>
      <c r="O28" s="302">
        <f>SUMPRODUCT((ISNUMBER(SEARCH($Y11,Dienstplan!$B$8:$B$19))*(ISNUMBER(SEARCH($AB$15,Dienstplan!$AH$8:$BJ$19)))))</f>
        <v>2</v>
      </c>
      <c r="P28" s="302">
        <f>SUMPRODUCT((ISNUMBER(SEARCH($Y11,Dienstplan!$B$8:$B$19))*(ISNUMBER(SEARCH($AB$16,Dienstplan!$AH$8:$BJ$19)))))</f>
        <v>0</v>
      </c>
      <c r="Q28" s="302">
        <f>SUMPRODUCT((ISNUMBER(SEARCH($Y11,Dienstplan!$B$8:$B$19))*(ISNUMBER(SEARCH($AB$17,Dienstplan!$AH$8:$BJ$19)))))</f>
        <v>0</v>
      </c>
      <c r="R28" s="302">
        <f>SUMPRODUCT((ISNUMBER(SEARCH($Y11,Dienstplan!$B$8:$B$19))*(ISNUMBER(SEARCH($AB$18,Dienstplan!$AH$8:$BJ$19)))))</f>
        <v>0</v>
      </c>
      <c r="S28" s="308">
        <f>SUMPRODUCT((ISNUMBER(SEARCH($Y11,Dienstplan!$B$8:$B$19))*(ISNUMBER(SEARCH($AB$19,Dienstplan!$AH$8:$BJ$19)))))</f>
        <v>0</v>
      </c>
      <c r="T28" s="302">
        <f t="shared" si="13"/>
        <v>160</v>
      </c>
      <c r="U28" s="330">
        <f>SUM($C28*Frueh_1+$D28*Spaet_1+$E28*Nacht_1+$F28*Normal_1+$I28*Sonderd_1-$J28*Put_W+$K28*Put_W+$L28*EH_Kurs+$M28*Koor_taet+$N28*Sekre_1+$O28*Put_W+$R28*Put_W+$P28*Put_W+$Q28*Put_W+G28*Put_W+H28*Put_W)</f>
        <v>160</v>
      </c>
      <c r="V28" s="308">
        <f t="shared" si="14"/>
        <v>0</v>
      </c>
      <c r="W28" s="318">
        <f t="shared" si="15"/>
        <v>8</v>
      </c>
      <c r="AE28" s="357"/>
      <c r="AF28" s="304"/>
    </row>
    <row r="29" ht="12.75" customHeight="1">
      <c r="A29" s="308"/>
      <c r="B29" s="329" t="str">
        <f t="shared" si="12"/>
        <v>Schmidt</v>
      </c>
      <c r="C29" s="302">
        <f>SUMPRODUCT((ISNUMBER(SEARCH($Y12,Dienstplan!$B$8:$B$19))*(ISNUMBER(SEARCH($AB$3,Dienstplan!$AH$8:$BJ$19)))))-D29</f>
        <v>0</v>
      </c>
      <c r="D29" s="302">
        <f>SUMPRODUCT((ISNUMBER(SEARCH($Y12,Dienstplan!$B$8:$B$19))*(ISNUMBER(SEARCH($AB$4,Dienstplan!$AH$8:$BJ$19)))))</f>
        <v>0</v>
      </c>
      <c r="E29" s="302">
        <f>SUMPRODUCT((ISNUMBER(SEARCH($Y12,Dienstplan!$B$8:$B$19))*(ISNUMBER(SEARCH($AB$5,Dienstplan!$AH$8:$BJ$19)))))</f>
        <v>0</v>
      </c>
      <c r="F29" s="302">
        <f>SUMPRODUCT((ISNUMBER(SEARCH($Y12,Dienstplan!$B$8:$B$19))*(ISNUMBER(SEARCH($AB$6,Dienstplan!$AH$8:$BJ$19)))))</f>
        <v>0</v>
      </c>
      <c r="G29" s="302">
        <f>SUMPRODUCT((ISNUMBER(SEARCH($Y12,Dienstplan!$B$8:$B$19))*(ISNUMBER(SEARCH($AB$7,Dienstplan!$AH$8:$BJ$19)))))-H29</f>
        <v>0</v>
      </c>
      <c r="H29" s="302">
        <f>SUMPRODUCT((ISNUMBER(SEARCH($Y12,Dienstplan!$B$8:$B$19))*(ISNUMBER(SEARCH($AB$8,Dienstplan!$AH$8:$BJ$19)))))</f>
        <v>0</v>
      </c>
      <c r="I29" s="302">
        <f>SUMPRODUCT((ISNUMBER(SEARCH($Y12,Dienstplan!$B$8:$B$19))*(ISNUMBER(SEARCH($AB$9,Dienstplan!$AH$8:$BJ$19)))))</f>
        <v>0</v>
      </c>
      <c r="J29" s="302">
        <f>SUMPRODUCT((ISNUMBER(SEARCH($Y12,Dienstplan!$B$8:$B$19))*(ISNUMBER(SEARCH($AB$10,Dienstplan!$AH$8:$BJ$19)))))</f>
        <v>0</v>
      </c>
      <c r="K29" s="302">
        <f>SUMPRODUCT((ISNUMBER(SEARCH($Y12,Dienstplan!$B$8:$B$19))*(ISNUMBER(SEARCH($AB$11,Dienstplan!$AH$8:$BJ$19)))))-$Q29</f>
        <v>0</v>
      </c>
      <c r="L29" s="302">
        <f>SUMPRODUCT((ISNUMBER(SEARCH($Y12,Dienstplan!$B$8:$B$19))*(ISNUMBER(SEARCH($AB$12,Dienstplan!$AH$8:$BJ$19)))))</f>
        <v>0</v>
      </c>
      <c r="M29" s="302">
        <f>SUMPRODUCT((ISNUMBER(SEARCH($Y12,Dienstplan!$B$8:$B$19))*(ISNUMBER(SEARCH($AB$13,Dienstplan!$AH$8:$BJ$19)))))</f>
        <v>0</v>
      </c>
      <c r="N29" s="302">
        <f>SUMPRODUCT((ISNUMBER(SEARCH($Y12,Dienstplan!$B$8:$B$19))*(ISNUMBER(SEARCH($AB$14,Dienstplan!$AH$8:$BJ$19)))))</f>
        <v>0</v>
      </c>
      <c r="O29" s="302">
        <f>SUMPRODUCT((ISNUMBER(SEARCH($Y12,Dienstplan!$B$8:$B$19))*(ISNUMBER(SEARCH($AB$15,Dienstplan!$AH$8:$BJ$19)))))</f>
        <v>0</v>
      </c>
      <c r="P29" s="302">
        <f>SUMPRODUCT((ISNUMBER(SEARCH($Y12,Dienstplan!$B$8:$B$19))*(ISNUMBER(SEARCH($AB$16,Dienstplan!$AH$8:$BJ$19)))))</f>
        <v>0</v>
      </c>
      <c r="Q29" s="302">
        <f>SUMPRODUCT((ISNUMBER(SEARCH($Y12,Dienstplan!$B$8:$B$19))*(ISNUMBER(SEARCH($AB$17,Dienstplan!$AH$8:$BJ$19)))))</f>
        <v>0</v>
      </c>
      <c r="R29" s="302">
        <f>SUMPRODUCT((ISNUMBER(SEARCH($Y12,Dienstplan!$B$8:$B$19))*(ISNUMBER(SEARCH($AB$18,Dienstplan!$AH$8:$BJ$19)))))</f>
        <v>0</v>
      </c>
      <c r="S29" s="308">
        <f>SUMPRODUCT((ISNUMBER(SEARCH($Y12,Dienstplan!$B$8:$B$19))*(ISNUMBER(SEARCH($AB$19,Dienstplan!$AH$8:$BJ$19)))))</f>
        <v>0</v>
      </c>
      <c r="T29" s="302">
        <f t="shared" si="13"/>
        <v>140</v>
      </c>
      <c r="U29" s="330">
        <f>SUM($C29*Frueh_1+$D29*Spaet_1+$E29*Nacht_1+$F29*Normal_1+$I29*Sonderd_1-$J29*Radi_L+$K29*Radi_L+$L29*EH_Kurs+$M29*Koor_taet+$N29*Sekre_1+$O29*Radi_L+$R29*Radi_L+$P29*Radi_L+$Q29*Radi_L+G29*Radi_L+H29*Radi_L)</f>
        <v>0</v>
      </c>
      <c r="V29" s="308">
        <f t="shared" si="14"/>
        <v>-140</v>
      </c>
      <c r="W29" s="318">
        <f t="shared" si="15"/>
        <v>-287</v>
      </c>
      <c r="Y29" s="357" t="s">
        <v>157</v>
      </c>
      <c r="Z29" s="304" t="s">
        <v>158</v>
      </c>
    </row>
    <row r="30" ht="12.75" customHeight="1">
      <c r="A30" s="308"/>
      <c r="B30" s="329" t="str">
        <f t="shared" si="12"/>
        <v>Radimersky</v>
      </c>
      <c r="C30" s="302">
        <f>SUMPRODUCT((ISNUMBER(SEARCH($Y13,Dienstplan!$B$8:$B$19))*(ISNUMBER(SEARCH($AB$3,Dienstplan!$AH$8:$BJ$19)))))-D30</f>
        <v>0</v>
      </c>
      <c r="D30" s="302">
        <f>SUMPRODUCT((ISNUMBER(SEARCH($Y13,Dienstplan!$B$8:$B$19))*(ISNUMBER(SEARCH($AB$4,Dienstplan!$AH$8:$BJ$19)))))</f>
        <v>0</v>
      </c>
      <c r="E30" s="302">
        <f>SUMPRODUCT((ISNUMBER(SEARCH($Y13,Dienstplan!$B$8:$B$19))*(ISNUMBER(SEARCH($AB$5,Dienstplan!$AH$8:$BJ$19)))))</f>
        <v>0</v>
      </c>
      <c r="F30" s="302">
        <f>SUMPRODUCT((ISNUMBER(SEARCH($Y13,Dienstplan!$B$8:$B$19))*(ISNUMBER(SEARCH($AB$6,Dienstplan!$AH$8:$BJ$19)))))</f>
        <v>0</v>
      </c>
      <c r="G30" s="302">
        <f>SUMPRODUCT((ISNUMBER(SEARCH($Y13,Dienstplan!$B$8:$B$19))*(ISNUMBER(SEARCH($AB$7,Dienstplan!$AH$8:$BJ$19)))))-H30</f>
        <v>0</v>
      </c>
      <c r="H30" s="302">
        <f>SUMPRODUCT((ISNUMBER(SEARCH($Y13,Dienstplan!$B$8:$B$19))*(ISNUMBER(SEARCH($AB$8,Dienstplan!$AH$8:$BJ$19)))))</f>
        <v>0</v>
      </c>
      <c r="I30" s="302">
        <f>SUMPRODUCT((ISNUMBER(SEARCH($Y13,Dienstplan!$B$8:$B$19))*(ISNUMBER(SEARCH($AB$9,Dienstplan!$AH$8:$BJ$19)))))</f>
        <v>0</v>
      </c>
      <c r="J30" s="302">
        <f>SUMPRODUCT((ISNUMBER(SEARCH($Y13,Dienstplan!$B$8:$B$19))*(ISNUMBER(SEARCH($AB$10,Dienstplan!$AH$8:$BJ$19)))))</f>
        <v>0</v>
      </c>
      <c r="K30" s="302">
        <f>SUMPRODUCT((ISNUMBER(SEARCH($Y13,Dienstplan!$B$8:$B$19))*(ISNUMBER(SEARCH($AB$11,Dienstplan!$AH$8:$BJ$19)))))-$Q30</f>
        <v>0</v>
      </c>
      <c r="L30" s="302">
        <f>SUMPRODUCT((ISNUMBER(SEARCH($Y13,Dienstplan!$B$8:$B$19))*(ISNUMBER(SEARCH($AB$12,Dienstplan!$AH$8:$BJ$19)))))</f>
        <v>0</v>
      </c>
      <c r="M30" s="302">
        <f>SUMPRODUCT((ISNUMBER(SEARCH($Y13,Dienstplan!$B$8:$B$19))*(ISNUMBER(SEARCH($AB$13,Dienstplan!$AH$8:$BJ$19)))))</f>
        <v>0</v>
      </c>
      <c r="N30" s="302">
        <f>SUMPRODUCT((ISNUMBER(SEARCH($Y13,Dienstplan!$B$8:$B$19))*(ISNUMBER(SEARCH($AB$14,Dienstplan!$AH$8:$BJ$19)))))</f>
        <v>0</v>
      </c>
      <c r="O30" s="302">
        <f>SUMPRODUCT((ISNUMBER(SEARCH($Y13,Dienstplan!$B$8:$B$19))*(ISNUMBER(SEARCH($AB$15,Dienstplan!$AH$8:$BJ$19)))))</f>
        <v>0</v>
      </c>
      <c r="P30" s="302">
        <f>SUMPRODUCT((ISNUMBER(SEARCH($Y13,Dienstplan!$B$8:$B$19))*(ISNUMBER(SEARCH($AB$16,Dienstplan!$AH$8:$BJ$19)))))</f>
        <v>0</v>
      </c>
      <c r="Q30" s="302">
        <f>SUMPRODUCT((ISNUMBER(SEARCH($Y13,Dienstplan!$B$8:$B$19))*(ISNUMBER(SEARCH($AB$17,Dienstplan!$AH$8:$BJ$19)))))</f>
        <v>0</v>
      </c>
      <c r="R30" s="302">
        <f>SUMPRODUCT((ISNUMBER(SEARCH($Y13,Dienstplan!$B$8:$B$19))*(ISNUMBER(SEARCH($AB$18,Dienstplan!$AH$8:$BJ$19)))))</f>
        <v>0</v>
      </c>
      <c r="S30" s="308">
        <f>SUMPRODUCT((ISNUMBER(SEARCH($Y13,Dienstplan!$B$8:$B$19))*(ISNUMBER(SEARCH($AB$19,Dienstplan!$AH$8:$BJ$19)))))</f>
        <v>0</v>
      </c>
      <c r="T30" s="302">
        <f t="shared" si="13"/>
        <v>60</v>
      </c>
      <c r="U30" s="330">
        <f>SUM($C30*Frueh_1+$D30*Spaet_1+$E30*Nacht_1+$F30*Normal_1+$I30*Sonderd_1-$J30*Fortenb+$K30*Fortenb+$L30*EH_Kurs+$M30*Koor_taet+$N30*Sekre_1+$O30*Fortenb+$R30*Fortenb+$P30*Fortenb+$Q30*Fortenb+G30*Fortenb+H30*Fortenb)</f>
        <v>0</v>
      </c>
      <c r="V30" s="308">
        <f t="shared" si="14"/>
        <v>-60</v>
      </c>
      <c r="W30" s="318">
        <f t="shared" si="15"/>
        <v>-123</v>
      </c>
      <c r="Y30" s="357" t="s">
        <v>145</v>
      </c>
      <c r="Z30" s="304" t="s">
        <v>159</v>
      </c>
    </row>
    <row r="31" ht="12.75" customHeight="1">
      <c r="A31" s="308"/>
      <c r="B31" s="329"/>
      <c r="S31" s="308"/>
      <c r="V31" s="308"/>
      <c r="W31" s="318"/>
    </row>
    <row r="32" ht="12.75" customHeight="1">
      <c r="A32" s="308"/>
      <c r="B32" s="329" t="s">
        <v>134</v>
      </c>
      <c r="C32" s="303">
        <f t="shared" ref="C32:S32" si="16">SUM(C20:C31)</f>
        <v>23</v>
      </c>
      <c r="D32" s="303">
        <f t="shared" si="16"/>
        <v>20</v>
      </c>
      <c r="E32" s="303">
        <f t="shared" si="16"/>
        <v>25</v>
      </c>
      <c r="F32" s="303">
        <f t="shared" si="16"/>
        <v>27</v>
      </c>
      <c r="G32" s="303">
        <f t="shared" si="16"/>
        <v>11</v>
      </c>
      <c r="H32" s="303">
        <f t="shared" si="16"/>
        <v>0</v>
      </c>
      <c r="I32" s="303">
        <f t="shared" si="16"/>
        <v>6</v>
      </c>
      <c r="J32" s="303">
        <f t="shared" si="16"/>
        <v>13</v>
      </c>
      <c r="K32" s="303">
        <f t="shared" si="16"/>
        <v>13</v>
      </c>
      <c r="L32" s="303">
        <f t="shared" si="16"/>
        <v>5</v>
      </c>
      <c r="M32" s="303">
        <f t="shared" si="16"/>
        <v>12</v>
      </c>
      <c r="N32" s="303">
        <f t="shared" si="16"/>
        <v>0</v>
      </c>
      <c r="O32" s="303">
        <f t="shared" si="16"/>
        <v>8</v>
      </c>
      <c r="P32" s="303">
        <f t="shared" si="16"/>
        <v>1</v>
      </c>
      <c r="Q32" s="303">
        <f t="shared" si="16"/>
        <v>0</v>
      </c>
      <c r="R32" s="303">
        <f t="shared" si="16"/>
        <v>0</v>
      </c>
      <c r="S32" s="323">
        <f t="shared" si="16"/>
        <v>6</v>
      </c>
      <c r="T32" s="303">
        <f t="shared" ref="T32:U32" si="17">SUM(T20:T28)</f>
        <v>1264</v>
      </c>
      <c r="U32" s="303">
        <f t="shared" si="17"/>
        <v>1040.55</v>
      </c>
      <c r="V32" s="323"/>
      <c r="W32" s="324"/>
    </row>
    <row r="33" ht="12.75" customHeight="1">
      <c r="A33" s="308"/>
      <c r="B33" s="309"/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9"/>
      <c r="T33" s="300"/>
      <c r="U33" s="300"/>
      <c r="V33" s="309"/>
      <c r="W33" s="310"/>
    </row>
    <row r="34" ht="12.75" customHeight="1">
      <c r="A34" s="308"/>
      <c r="B34" s="312" t="s">
        <v>160</v>
      </c>
      <c r="D34" s="313" t="s">
        <v>136</v>
      </c>
      <c r="E34" s="314"/>
      <c r="F34" s="315">
        <v>23.0</v>
      </c>
      <c r="G34" s="316"/>
      <c r="H34" s="317"/>
      <c r="I34" s="313" t="s">
        <v>137</v>
      </c>
      <c r="J34" s="314"/>
      <c r="K34" s="315">
        <v>4.0</v>
      </c>
      <c r="S34" s="308"/>
      <c r="V34" s="308"/>
      <c r="W34" s="318"/>
    </row>
    <row r="35" ht="12.75" customHeight="1">
      <c r="A35" s="308"/>
      <c r="B35" s="308"/>
      <c r="C35" s="303" t="str">
        <f>Jahr!C3</f>
        <v>FI</v>
      </c>
      <c r="D35" s="303" t="str">
        <f>Jahr!D3</f>
        <v>FII</v>
      </c>
      <c r="E35" s="303" t="str">
        <f>Jahr!E3</f>
        <v>SI</v>
      </c>
      <c r="F35" s="303" t="str">
        <f>Jahr!F3</f>
        <v>NI</v>
      </c>
      <c r="G35" s="303" t="str">
        <f>Jahr!G3</f>
        <v>DI</v>
      </c>
      <c r="H35" s="303" t="str">
        <f>Jahr!H3</f>
        <v>DII</v>
      </c>
      <c r="I35" s="303" t="str">
        <f>Jahr!I3</f>
        <v>SD</v>
      </c>
      <c r="J35" s="303" t="str">
        <f>Jahr!J3</f>
        <v>GT</v>
      </c>
      <c r="K35" s="303" t="str">
        <f>Jahr!K3</f>
        <v>U</v>
      </c>
      <c r="L35" s="303" t="str">
        <f>Jahr!L3</f>
        <v>EH</v>
      </c>
      <c r="M35" s="303" t="str">
        <f>Jahr!M3</f>
        <v>KT</v>
      </c>
      <c r="N35" s="303" t="str">
        <f>Jahr!N3</f>
        <v>Sek</v>
      </c>
      <c r="O35" s="303" t="str">
        <f>Jahr!O3</f>
        <v>Fobi</v>
      </c>
      <c r="P35" s="303" t="str">
        <f>Jahr!P3</f>
        <v>A</v>
      </c>
      <c r="Q35" s="303" t="str">
        <f>Jahr!Q3</f>
        <v>Kur</v>
      </c>
      <c r="R35" s="303" t="str">
        <f>Jahr!R3</f>
        <v>FZC</v>
      </c>
      <c r="S35" s="303" t="str">
        <f>Jahr!S3</f>
        <v>NST</v>
      </c>
      <c r="T35" s="303" t="s">
        <v>144</v>
      </c>
      <c r="U35" s="303" t="s">
        <v>145</v>
      </c>
      <c r="V35" s="323" t="s">
        <v>146</v>
      </c>
      <c r="W35" s="324" t="s">
        <v>147</v>
      </c>
    </row>
    <row r="36" ht="12.75" customHeight="1">
      <c r="A36" s="308"/>
      <c r="B36" s="329" t="str">
        <f t="shared" ref="B36:B46" si="18">B4</f>
        <v>Breig</v>
      </c>
      <c r="C36" s="302">
        <f>SUMPRODUCT((ISNUMBER(SEARCH($Y3,Dienstplan!$B$8:$B$19))*(ISNUMBER(SEARCH($AB$3,Dienstplan!$BK$8:$CO$19)))))-D36</f>
        <v>5</v>
      </c>
      <c r="D36" s="302">
        <f>SUMPRODUCT((ISNUMBER(SEARCH($Y3,Dienstplan!$B$8:$B$19))*(ISNUMBER(SEARCH($AB$4,Dienstplan!$BK$8:$CO$19)))))</f>
        <v>0</v>
      </c>
      <c r="E36" s="302">
        <f>SUMPRODUCT((ISNUMBER(SEARCH($Y3,Dienstplan!$B$8:$B$19))*(ISNUMBER(SEARCH($AB$5,Dienstplan!$BK$8:$CO$19)))))</f>
        <v>0</v>
      </c>
      <c r="F36" s="302">
        <f>SUMPRODUCT((ISNUMBER(SEARCH($Y3,Dienstplan!$B$8:$B$19))*(ISNUMBER(SEARCH($AB$6,Dienstplan!$BK$8:$CO$19)))))</f>
        <v>5</v>
      </c>
      <c r="G36" s="302">
        <f>SUMPRODUCT((ISNUMBER(SEARCH($Y3,Dienstplan!$B$8:$B$19))*(ISNUMBER(SEARCH($AB$7,Dienstplan!$BK$8:$CO$19)))))-H36</f>
        <v>2</v>
      </c>
      <c r="H36" s="302">
        <f>SUMPRODUCT((ISNUMBER(SEARCH($Y3,Dienstplan!$B$8:$B$19))*(ISNUMBER(SEARCH($AB$8,Dienstplan!$BK$8:$CO$19)))))</f>
        <v>0</v>
      </c>
      <c r="I36" s="302">
        <f>SUMPRODUCT((ISNUMBER(SEARCH($Y3,Dienstplan!$B$8:$B$19))*(ISNUMBER(SEARCH($AB$9,Dienstplan!$BK$8:$CO$19)))))</f>
        <v>0</v>
      </c>
      <c r="J36" s="302">
        <f>SUMPRODUCT((ISNUMBER(SEARCH($Y3,Dienstplan!$B$8:$B$19))*(ISNUMBER(SEARCH($AB$10,Dienstplan!$BK$8:$CO$19)))))</f>
        <v>0</v>
      </c>
      <c r="K36" s="302">
        <f>SUMPRODUCT((ISNUMBER(SEARCH($Y3,Dienstplan!$B$8:$B$19))*(ISNUMBER(SEARCH($AB$11,Dienstplan!$BK$8:$CO$19)))))-$Q36</f>
        <v>0</v>
      </c>
      <c r="L36" s="302">
        <f>SUMPRODUCT((ISNUMBER(SEARCH($Y3,Dienstplan!$B$8:$B$19))*(ISNUMBER(SEARCH($AB$12,Dienstplan!$BK$8:$CO$19)))))</f>
        <v>1</v>
      </c>
      <c r="M36" s="302">
        <f>SUMPRODUCT((ISNUMBER(SEARCH($Y3,Dienstplan!$B$8:$B$19))*(ISNUMBER(SEARCH($AB$13,Dienstplan!$BK$8:$CO$19)))))</f>
        <v>0</v>
      </c>
      <c r="N36" s="302">
        <f>SUMPRODUCT((ISNUMBER(SEARCH($Y3,Dienstplan!$B$8:$B$19))*(ISNUMBER(SEARCH($AB$14,Dienstplan!$BK$8:$CO$19)))))</f>
        <v>0</v>
      </c>
      <c r="O36" s="302">
        <f>SUMPRODUCT((ISNUMBER(SEARCH($Y3,Dienstplan!$B$8:$B$19))*(ISNUMBER(SEARCH($AB$15,Dienstplan!$BK$8:$CO$19)))))</f>
        <v>5</v>
      </c>
      <c r="P36" s="302">
        <f>SUMPRODUCT((ISNUMBER(SEARCH($Y3,Dienstplan!$B$8:$B$19))*(ISNUMBER(SEARCH($AB$16,Dienstplan!$BK$8:$CO$19)))))</f>
        <v>0</v>
      </c>
      <c r="Q36" s="302">
        <f>SUMPRODUCT((ISNUMBER(SEARCH($Y3,Dienstplan!$B$8:$B$19))*(ISNUMBER(SEARCH($AB$17,Dienstplan!$BK$8:$CO$19)))))</f>
        <v>0</v>
      </c>
      <c r="R36" s="302">
        <f>SUMPRODUCT((ISNUMBER(SEARCH($Y3,Dienstplan!$B$8:$B$19))*(ISNUMBER(SEARCH($AB$18,Dienstplan!$BK$8:$CO$19)))))</f>
        <v>0</v>
      </c>
      <c r="S36" s="308">
        <f>SUMPRODUCT((ISNUMBER(SEARCH($Y3,Dienstplan!$B$8:$B$19))*(ISNUMBER(SEARCH($AB$19,Dienstplan!$BK$8:$CO$19)))))</f>
        <v>1</v>
      </c>
      <c r="T36" s="302">
        <f t="shared" ref="T36:T46" si="19">SUM($F$34*$Z3)</f>
        <v>184</v>
      </c>
      <c r="U36" s="330">
        <f>SUM($C36*Frueh_1+$D36*Spaet_1+$E36*Nacht_1+$F36*Normal_1+$I36*Sonderd_1-$J36*Velten+$K36*Velten+$L36*EH_Kurs+$M36*Koor_taet+$N36*Sekre_1+$O36*Velten+$R36*Velten+$P36*Velten+$Q36*Velten+G36*Velt_M+H36*Velt_M)</f>
        <v>137.75</v>
      </c>
      <c r="V36" s="308">
        <f t="shared" ref="V36:V46" si="20">SUM($U36-$T36)</f>
        <v>-46.25</v>
      </c>
      <c r="W36" s="318">
        <f t="shared" ref="W36:W46" si="21">V36+W20</f>
        <v>-78.75</v>
      </c>
    </row>
    <row r="37" ht="12.75" customHeight="1">
      <c r="A37" s="308"/>
      <c r="B37" s="329" t="str">
        <f t="shared" si="18"/>
        <v>Siebert</v>
      </c>
      <c r="C37" s="302">
        <f>SUMPRODUCT((ISNUMBER(SEARCH($Y4,Dienstplan!$B$8:$B$19))*(ISNUMBER(SEARCH($AB$3,Dienstplan!$BK$8:$CO$19)))))-D37</f>
        <v>0</v>
      </c>
      <c r="D37" s="302">
        <f>SUMPRODUCT((ISNUMBER(SEARCH($Y4,Dienstplan!$B$8:$B$19))*(ISNUMBER(SEARCH($AB$4,Dienstplan!$BK$8:$CO$19)))))</f>
        <v>0</v>
      </c>
      <c r="E37" s="302">
        <f>SUMPRODUCT((ISNUMBER(SEARCH($Y4,Dienstplan!$B$8:$B$19))*(ISNUMBER(SEARCH($AB$5,Dienstplan!$BK$8:$CO$19)))))</f>
        <v>5</v>
      </c>
      <c r="F37" s="302">
        <f>SUMPRODUCT((ISNUMBER(SEARCH($Y4,Dienstplan!$B$8:$B$19))*(ISNUMBER(SEARCH($AB$6,Dienstplan!$BK$8:$CO$19)))))</f>
        <v>0</v>
      </c>
      <c r="G37" s="302">
        <f>SUMPRODUCT((ISNUMBER(SEARCH($Y4,Dienstplan!$B$8:$B$19))*(ISNUMBER(SEARCH($AB$7,Dienstplan!$BK$8:$CO$19)))))-H37</f>
        <v>0</v>
      </c>
      <c r="H37" s="302">
        <f>SUMPRODUCT((ISNUMBER(SEARCH($Y4,Dienstplan!$B$8:$B$19))*(ISNUMBER(SEARCH($AB$8,Dienstplan!$BK$8:$CO$19)))))</f>
        <v>0</v>
      </c>
      <c r="I37" s="302">
        <f>SUMPRODUCT((ISNUMBER(SEARCH($Y4,Dienstplan!$B$8:$B$19))*(ISNUMBER(SEARCH($AB$9,Dienstplan!$BK$8:$CO$19)))))</f>
        <v>0</v>
      </c>
      <c r="J37" s="302">
        <f>SUMPRODUCT((ISNUMBER(SEARCH($Y4,Dienstplan!$B$8:$B$19))*(ISNUMBER(SEARCH($AB$10,Dienstplan!$BK$8:$CO$19)))))</f>
        <v>0</v>
      </c>
      <c r="K37" s="302">
        <f>SUMPRODUCT((ISNUMBER(SEARCH($Y4,Dienstplan!$B$8:$B$19))*(ISNUMBER(SEARCH($AB$11,Dienstplan!$BK$8:$CO$19)))))-$Q37</f>
        <v>5</v>
      </c>
      <c r="L37" s="302">
        <f>SUMPRODUCT((ISNUMBER(SEARCH($Y4,Dienstplan!$B$8:$B$19))*(ISNUMBER(SEARCH($AB$12,Dienstplan!$BK$8:$CO$19)))))</f>
        <v>1</v>
      </c>
      <c r="M37" s="302">
        <f>SUMPRODUCT((ISNUMBER(SEARCH($Y4,Dienstplan!$B$8:$B$19))*(ISNUMBER(SEARCH($AB$13,Dienstplan!$BK$8:$CO$19)))))</f>
        <v>0</v>
      </c>
      <c r="N37" s="302">
        <f>SUMPRODUCT((ISNUMBER(SEARCH($Y4,Dienstplan!$B$8:$B$19))*(ISNUMBER(SEARCH($AB$14,Dienstplan!$BK$8:$CO$19)))))</f>
        <v>0</v>
      </c>
      <c r="O37" s="302">
        <f>SUMPRODUCT((ISNUMBER(SEARCH($Y4,Dienstplan!$B$8:$B$19))*(ISNUMBER(SEARCH($AB$15,Dienstplan!$BK$8:$CO$19)))))</f>
        <v>2</v>
      </c>
      <c r="P37" s="302">
        <f>SUMPRODUCT((ISNUMBER(SEARCH($Y4,Dienstplan!$B$8:$B$19))*(ISNUMBER(SEARCH($AB$16,Dienstplan!$BK$8:$CO$19)))))</f>
        <v>0</v>
      </c>
      <c r="Q37" s="302">
        <f>SUMPRODUCT((ISNUMBER(SEARCH($Y4,Dienstplan!$B$8:$B$19))*(ISNUMBER(SEARCH($AB$17,Dienstplan!$BK$8:$CO$19)))))</f>
        <v>0</v>
      </c>
      <c r="R37" s="302">
        <f>SUMPRODUCT((ISNUMBER(SEARCH($Y4,Dienstplan!$B$8:$B$19))*(ISNUMBER(SEARCH($AB$18,Dienstplan!$BK$8:$CO$19)))))</f>
        <v>0</v>
      </c>
      <c r="S37" s="308">
        <f>SUMPRODUCT((ISNUMBER(SEARCH($Y4,Dienstplan!$B$8:$B$19))*(ISNUMBER(SEARCH($AB$19,Dienstplan!$BK$8:$CO$19)))))</f>
        <v>0</v>
      </c>
      <c r="T37" s="302">
        <f t="shared" si="19"/>
        <v>161</v>
      </c>
      <c r="U37" s="330">
        <f>SUM($C37*Frueh_1+$D37*Spaet_1+$E37*Nacht_1+$F37*Normal_1+$I37*Sonderd_1-$J37*Brue_H+$K37*Brue_H+$L37*EH_Kurs+$M37*Koor_taet+$N37*Sekre_1+$O37*Brue_H+$R37*Brue_H+$P37*Brue_H+$Q37*Brue_H+G37*Brue_H+H37*Brue_H)</f>
        <v>94.5</v>
      </c>
      <c r="V37" s="308">
        <f t="shared" si="20"/>
        <v>-66.5</v>
      </c>
      <c r="W37" s="318">
        <f t="shared" si="21"/>
        <v>-42.25</v>
      </c>
    </row>
    <row r="38" ht="12.75" customHeight="1">
      <c r="A38" s="308"/>
      <c r="B38" s="329" t="str">
        <f t="shared" si="18"/>
        <v>Jochim</v>
      </c>
      <c r="C38" s="302">
        <f>SUMPRODUCT((ISNUMBER(SEARCH($Y5,Dienstplan!$B$8:$B$19))*(ISNUMBER(SEARCH($AB$3,Dienstplan!$BK$8:$CO$19)))))-D38</f>
        <v>5</v>
      </c>
      <c r="D38" s="302">
        <f>SUMPRODUCT((ISNUMBER(SEARCH($Y5,Dienstplan!$B$8:$B$19))*(ISNUMBER(SEARCH($AB$4,Dienstplan!$BK$8:$CO$19)))))</f>
        <v>0</v>
      </c>
      <c r="E38" s="302">
        <f>SUMPRODUCT((ISNUMBER(SEARCH($Y5,Dienstplan!$B$8:$B$19))*(ISNUMBER(SEARCH($AB$5,Dienstplan!$BK$8:$CO$19)))))</f>
        <v>0</v>
      </c>
      <c r="F38" s="302">
        <f>SUMPRODUCT((ISNUMBER(SEARCH($Y5,Dienstplan!$B$8:$B$19))*(ISNUMBER(SEARCH($AB$6,Dienstplan!$BK$8:$CO$19)))))</f>
        <v>0</v>
      </c>
      <c r="G38" s="302">
        <f>SUMPRODUCT((ISNUMBER(SEARCH($Y5,Dienstplan!$B$8:$B$19))*(ISNUMBER(SEARCH($AB$7,Dienstplan!$BK$8:$CO$19)))))-H38</f>
        <v>5</v>
      </c>
      <c r="H38" s="302">
        <f>SUMPRODUCT((ISNUMBER(SEARCH($Y5,Dienstplan!$B$8:$B$19))*(ISNUMBER(SEARCH($AB$8,Dienstplan!$BK$8:$CO$19)))))</f>
        <v>5</v>
      </c>
      <c r="I38" s="302">
        <f>SUMPRODUCT((ISNUMBER(SEARCH($Y5,Dienstplan!$B$8:$B$19))*(ISNUMBER(SEARCH($AB$9,Dienstplan!$BK$8:$CO$19)))))</f>
        <v>1</v>
      </c>
      <c r="J38" s="302">
        <f>SUMPRODUCT((ISNUMBER(SEARCH($Y5,Dienstplan!$B$8:$B$19))*(ISNUMBER(SEARCH($AB$10,Dienstplan!$BK$8:$CO$19)))))</f>
        <v>0</v>
      </c>
      <c r="K38" s="302">
        <f>SUMPRODUCT((ISNUMBER(SEARCH($Y5,Dienstplan!$B$8:$B$19))*(ISNUMBER(SEARCH($AB$11,Dienstplan!$BK$8:$CO$19)))))-$Q38</f>
        <v>0</v>
      </c>
      <c r="L38" s="302">
        <f>SUMPRODUCT((ISNUMBER(SEARCH($Y5,Dienstplan!$B$8:$B$19))*(ISNUMBER(SEARCH($AB$12,Dienstplan!$BK$8:$CO$19)))))</f>
        <v>0</v>
      </c>
      <c r="M38" s="302">
        <f>SUMPRODUCT((ISNUMBER(SEARCH($Y5,Dienstplan!$B$8:$B$19))*(ISNUMBER(SEARCH($AB$13,Dienstplan!$BK$8:$CO$19)))))</f>
        <v>0</v>
      </c>
      <c r="N38" s="302">
        <f>SUMPRODUCT((ISNUMBER(SEARCH($Y5,Dienstplan!$B$8:$B$19))*(ISNUMBER(SEARCH($AB$14,Dienstplan!$BK$8:$CO$19)))))</f>
        <v>0</v>
      </c>
      <c r="O38" s="302">
        <f>SUMPRODUCT((ISNUMBER(SEARCH($Y5,Dienstplan!$B$8:$B$19))*(ISNUMBER(SEARCH($AB$15,Dienstplan!$BK$8:$CO$19)))))</f>
        <v>0</v>
      </c>
      <c r="P38" s="302">
        <f>SUMPRODUCT((ISNUMBER(SEARCH($Y5,Dienstplan!$B$8:$B$19))*(ISNUMBER(SEARCH($AB$16,Dienstplan!$BK$8:$CO$19)))))</f>
        <v>0</v>
      </c>
      <c r="Q38" s="302">
        <f>SUMPRODUCT((ISNUMBER(SEARCH($Y5,Dienstplan!$B$8:$B$19))*(ISNUMBER(SEARCH($AB$17,Dienstplan!$BK$8:$CO$19)))))</f>
        <v>0</v>
      </c>
      <c r="R38" s="302">
        <f>SUMPRODUCT((ISNUMBER(SEARCH($Y5,Dienstplan!$B$8:$B$19))*(ISNUMBER(SEARCH($AB$18,Dienstplan!$BK$8:$CO$19)))))</f>
        <v>0</v>
      </c>
      <c r="S38" s="308">
        <f>SUMPRODUCT((ISNUMBER(SEARCH($Y5,Dienstplan!$B$8:$B$19))*(ISNUMBER(SEARCH($AB$19,Dienstplan!$BK$8:$CO$19)))))</f>
        <v>0</v>
      </c>
      <c r="T38" s="302">
        <f t="shared" si="19"/>
        <v>161</v>
      </c>
      <c r="U38" s="330">
        <f>SUM($C38*Frueh_1+$D38*Spaet_1+$E38*Nacht_1+$F38*Normal_1+$I38*Sonderd_1-$J38*Rath_M+$K38*Rath_M+$L38*EH_Kurs+$M38*Koor_taet+$N38*Sekre_1+$O38*Rath_M+$R38*Rath_M+$P38*Rath_M+$Q38*Rath_M+G38*Rath_M+H38*Rath_M)</f>
        <v>113.25</v>
      </c>
      <c r="V38" s="308">
        <f t="shared" si="20"/>
        <v>-47.75</v>
      </c>
      <c r="W38" s="318">
        <f t="shared" si="21"/>
        <v>-313.75</v>
      </c>
    </row>
    <row r="39" ht="12.75" customHeight="1">
      <c r="A39" s="308"/>
      <c r="B39" s="329" t="str">
        <f t="shared" si="18"/>
        <v>Wunsch</v>
      </c>
      <c r="C39" s="302">
        <f>SUMPRODUCT((ISNUMBER(SEARCH($Y6,Dienstplan!$B$8:$B$19))*(ISNUMBER(SEARCH($AB$3,Dienstplan!$BK$8:$CO$19)))))-D39</f>
        <v>1</v>
      </c>
      <c r="D39" s="302">
        <f>SUMPRODUCT((ISNUMBER(SEARCH($Y6,Dienstplan!$B$8:$B$19))*(ISNUMBER(SEARCH($AB$4,Dienstplan!$BK$8:$CO$19)))))</f>
        <v>0</v>
      </c>
      <c r="E39" s="302">
        <f>SUMPRODUCT((ISNUMBER(SEARCH($Y6,Dienstplan!$B$8:$B$19))*(ISNUMBER(SEARCH($AB$5,Dienstplan!$BK$8:$CO$19)))))</f>
        <v>3</v>
      </c>
      <c r="F39" s="302">
        <f>SUMPRODUCT((ISNUMBER(SEARCH($Y6,Dienstplan!$B$8:$B$19))*(ISNUMBER(SEARCH($AB$6,Dienstplan!$BK$8:$CO$19)))))</f>
        <v>5</v>
      </c>
      <c r="G39" s="302">
        <f>SUMPRODUCT((ISNUMBER(SEARCH($Y6,Dienstplan!$B$8:$B$19))*(ISNUMBER(SEARCH($AB$7,Dienstplan!$BK$8:$CO$19)))))-H39</f>
        <v>0</v>
      </c>
      <c r="H39" s="302">
        <f>SUMPRODUCT((ISNUMBER(SEARCH($Y6,Dienstplan!$B$8:$B$19))*(ISNUMBER(SEARCH($AB$8,Dienstplan!$BK$8:$CO$19)))))</f>
        <v>0</v>
      </c>
      <c r="I39" s="302">
        <f>SUMPRODUCT((ISNUMBER(SEARCH($Y6,Dienstplan!$B$8:$B$19))*(ISNUMBER(SEARCH($AB$9,Dienstplan!$BK$8:$CO$19)))))</f>
        <v>0</v>
      </c>
      <c r="J39" s="302">
        <f>SUMPRODUCT((ISNUMBER(SEARCH($Y6,Dienstplan!$B$8:$B$19))*(ISNUMBER(SEARCH($AB$10,Dienstplan!$BK$8:$CO$19)))))</f>
        <v>0</v>
      </c>
      <c r="K39" s="302">
        <f>SUMPRODUCT((ISNUMBER(SEARCH($Y6,Dienstplan!$B$8:$B$19))*(ISNUMBER(SEARCH($AB$11,Dienstplan!$BK$8:$CO$19)))))-$Q39</f>
        <v>4</v>
      </c>
      <c r="L39" s="302">
        <f>SUMPRODUCT((ISNUMBER(SEARCH($Y6,Dienstplan!$B$8:$B$19))*(ISNUMBER(SEARCH($AB$12,Dienstplan!$BK$8:$CO$19)))))</f>
        <v>1</v>
      </c>
      <c r="M39" s="302">
        <f>SUMPRODUCT((ISNUMBER(SEARCH($Y6,Dienstplan!$B$8:$B$19))*(ISNUMBER(SEARCH($AB$13,Dienstplan!$BK$8:$CO$19)))))</f>
        <v>0</v>
      </c>
      <c r="N39" s="302">
        <f>SUMPRODUCT((ISNUMBER(SEARCH($Y6,Dienstplan!$B$8:$B$19))*(ISNUMBER(SEARCH($AB$14,Dienstplan!$BK$8:$CO$19)))))</f>
        <v>0</v>
      </c>
      <c r="O39" s="302">
        <f>SUMPRODUCT((ISNUMBER(SEARCH($Y6,Dienstplan!$B$8:$B$19))*(ISNUMBER(SEARCH($AB$15,Dienstplan!$BK$8:$CO$19)))))</f>
        <v>0</v>
      </c>
      <c r="P39" s="302">
        <f>SUMPRODUCT((ISNUMBER(SEARCH($Y6,Dienstplan!$B$8:$B$19))*(ISNUMBER(SEARCH($AB$16,Dienstplan!$BK$8:$CO$19)))))</f>
        <v>0</v>
      </c>
      <c r="Q39" s="302">
        <f>SUMPRODUCT((ISNUMBER(SEARCH($Y6,Dienstplan!$B$8:$B$19))*(ISNUMBER(SEARCH($AB$17,Dienstplan!$BK$8:$CO$19)))))</f>
        <v>0</v>
      </c>
      <c r="R39" s="302">
        <f>SUMPRODUCT((ISNUMBER(SEARCH($Y6,Dienstplan!$B$8:$B$19))*(ISNUMBER(SEARCH($AB$18,Dienstplan!$BK$8:$CO$19)))))</f>
        <v>0</v>
      </c>
      <c r="S39" s="308">
        <f>SUMPRODUCT((ISNUMBER(SEARCH($Y6,Dienstplan!$B$8:$B$19))*(ISNUMBER(SEARCH($AB$19,Dienstplan!$BK$8:$CO$19)))))</f>
        <v>2</v>
      </c>
      <c r="T39" s="302">
        <f t="shared" si="19"/>
        <v>184</v>
      </c>
      <c r="U39" s="330">
        <f>SUM($C39*Frueh_1+$D39*Spaet_1+$E39*Nacht_1+$F39*Normal_1+$I39*Sonderd_1-$J39*Scho_K+$K39*Scho_K+$L39*EH_Kurs+$M39*Koor_taet+$N39*Sekre_1+$O39*Scho_K+$R39*Scho_K+$P39*Scho_K+$Q39*Scho_K+G39*Scho_K+H39)</f>
        <v>107.25</v>
      </c>
      <c r="V39" s="308">
        <f t="shared" si="20"/>
        <v>-76.75</v>
      </c>
      <c r="W39" s="318">
        <f t="shared" si="21"/>
        <v>-111.5</v>
      </c>
    </row>
    <row r="40" ht="12.75" customHeight="1">
      <c r="A40" s="308"/>
      <c r="B40" s="329" t="str">
        <f t="shared" si="18"/>
        <v>Göpfrich</v>
      </c>
      <c r="C40" s="302">
        <f>SUMPRODUCT((ISNUMBER(SEARCH($Y7,Dienstplan!$B$8:$B$19))*(ISNUMBER(SEARCH($AB$3,Dienstplan!$BK$8:$CO$19)))))-D40</f>
        <v>0</v>
      </c>
      <c r="D40" s="302">
        <f>SUMPRODUCT((ISNUMBER(SEARCH($Y7,Dienstplan!$B$8:$B$19))*(ISNUMBER(SEARCH($AB$4,Dienstplan!$BK$8:$CO$19)))))</f>
        <v>0</v>
      </c>
      <c r="E40" s="302">
        <f>SUMPRODUCT((ISNUMBER(SEARCH($Y7,Dienstplan!$B$8:$B$19))*(ISNUMBER(SEARCH($AB$5,Dienstplan!$BK$8:$CO$19)))))</f>
        <v>8</v>
      </c>
      <c r="F40" s="302">
        <f>SUMPRODUCT((ISNUMBER(SEARCH($Y7,Dienstplan!$B$8:$B$19))*(ISNUMBER(SEARCH($AB$6,Dienstplan!$BK$8:$CO$19)))))</f>
        <v>10</v>
      </c>
      <c r="G40" s="302">
        <f>SUMPRODUCT((ISNUMBER(SEARCH($Y7,Dienstplan!$B$8:$B$19))*(ISNUMBER(SEARCH($AB$7,Dienstplan!$BK$8:$CO$19)))))-H40</f>
        <v>0</v>
      </c>
      <c r="H40" s="302">
        <f>SUMPRODUCT((ISNUMBER(SEARCH($Y7,Dienstplan!$B$8:$B$19))*(ISNUMBER(SEARCH($AB$8,Dienstplan!$BK$8:$CO$19)))))</f>
        <v>0</v>
      </c>
      <c r="I40" s="302">
        <f>SUMPRODUCT((ISNUMBER(SEARCH($Y7,Dienstplan!$B$8:$B$19))*(ISNUMBER(SEARCH($AB$9,Dienstplan!$BK$8:$CO$19)))))</f>
        <v>0</v>
      </c>
      <c r="J40" s="302">
        <f>SUMPRODUCT((ISNUMBER(SEARCH($Y7,Dienstplan!$B$8:$B$19))*(ISNUMBER(SEARCH($AB$10,Dienstplan!$BK$8:$CO$19)))))</f>
        <v>0</v>
      </c>
      <c r="K40" s="302">
        <f>SUMPRODUCT((ISNUMBER(SEARCH($Y7,Dienstplan!$B$8:$B$19))*(ISNUMBER(SEARCH($AB$11,Dienstplan!$BK$8:$CO$19)))))-$Q40</f>
        <v>0</v>
      </c>
      <c r="L40" s="302">
        <f>SUMPRODUCT((ISNUMBER(SEARCH($Y7,Dienstplan!$B$8:$B$19))*(ISNUMBER(SEARCH($AB$12,Dienstplan!$BK$8:$CO$19)))))</f>
        <v>0</v>
      </c>
      <c r="M40" s="302">
        <f>SUMPRODUCT((ISNUMBER(SEARCH($Y7,Dienstplan!$B$8:$B$19))*(ISNUMBER(SEARCH($AB$13,Dienstplan!$BK$8:$CO$19)))))</f>
        <v>0</v>
      </c>
      <c r="N40" s="302">
        <f>SUMPRODUCT((ISNUMBER(SEARCH($Y7,Dienstplan!$B$8:$B$19))*(ISNUMBER(SEARCH($AB$14,Dienstplan!$BK$8:$CO$19)))))</f>
        <v>0</v>
      </c>
      <c r="O40" s="302">
        <f>SUMPRODUCT((ISNUMBER(SEARCH($Y7,Dienstplan!$B$8:$B$19))*(ISNUMBER(SEARCH($AB$15,Dienstplan!$BK$8:$CO$19)))))</f>
        <v>0</v>
      </c>
      <c r="P40" s="302">
        <f>SUMPRODUCT((ISNUMBER(SEARCH($Y7,Dienstplan!$B$8:$B$19))*(ISNUMBER(SEARCH($AB$16,Dienstplan!$BK$8:$CO$19)))))</f>
        <v>0</v>
      </c>
      <c r="Q40" s="302">
        <f>SUMPRODUCT((ISNUMBER(SEARCH($Y7,Dienstplan!$B$8:$B$19))*(ISNUMBER(SEARCH($AB$17,Dienstplan!$BK$8:$CO$19)))))</f>
        <v>0</v>
      </c>
      <c r="R40" s="302">
        <f>SUMPRODUCT((ISNUMBER(SEARCH($Y7,Dienstplan!$B$8:$B$19))*(ISNUMBER(SEARCH($AB$18,Dienstplan!$BK$8:$CO$19)))))</f>
        <v>0</v>
      </c>
      <c r="S40" s="308">
        <f>SUMPRODUCT((ISNUMBER(SEARCH($Y7,Dienstplan!$B$8:$B$19))*(ISNUMBER(SEARCH($AB$19,Dienstplan!$BK$8:$CO$19)))))</f>
        <v>1</v>
      </c>
      <c r="T40" s="302">
        <f t="shared" si="19"/>
        <v>161</v>
      </c>
      <c r="U40" s="330">
        <f>SUM($C40*Frueh_1+$D40*Spaet_1+$E40*Nacht_1+$F40*Normal_1+$I40*Sonderd_1-$J40*Krie_B+$K40*Krie_B+$L40*EH_Kurs+$M40*Koor_taet+$N40*Sekre_1+$O40*Krie_B+$R40*Krie_B+$P40*Krie_B+$Q40*Krie_B+G40*Krie_B+H40*Krie_B)</f>
        <v>135</v>
      </c>
      <c r="V40" s="308">
        <f t="shared" si="20"/>
        <v>-26</v>
      </c>
      <c r="W40" s="318">
        <f t="shared" si="21"/>
        <v>-21.25</v>
      </c>
    </row>
    <row r="41" ht="12.75" customHeight="1">
      <c r="A41" s="308"/>
      <c r="B41" s="329" t="str">
        <f t="shared" si="18"/>
        <v>Zeller</v>
      </c>
      <c r="C41" s="302">
        <f>SUMPRODUCT((ISNUMBER(SEARCH($Y8,Dienstplan!$B$8:$B$19))*(ISNUMBER(SEARCH($AB$3,Dienstplan!$BK$8:$CO$19)))))-D41</f>
        <v>1</v>
      </c>
      <c r="D41" s="302">
        <f>SUMPRODUCT((ISNUMBER(SEARCH($Y8,Dienstplan!$B$8:$B$19))*(ISNUMBER(SEARCH($AB$4,Dienstplan!$BK$8:$CO$19)))))</f>
        <v>0</v>
      </c>
      <c r="E41" s="302">
        <f>SUMPRODUCT((ISNUMBER(SEARCH($Y8,Dienstplan!$B$8:$B$19))*(ISNUMBER(SEARCH($AB$5,Dienstplan!$BK$8:$CO$19)))))</f>
        <v>2</v>
      </c>
      <c r="F41" s="302">
        <f>SUMPRODUCT((ISNUMBER(SEARCH($Y8,Dienstplan!$B$8:$B$19))*(ISNUMBER(SEARCH($AB$6,Dienstplan!$BK$8:$CO$19)))))</f>
        <v>4</v>
      </c>
      <c r="G41" s="302">
        <f>SUMPRODUCT((ISNUMBER(SEARCH($Y8,Dienstplan!$B$8:$B$19))*(ISNUMBER(SEARCH($AB$7,Dienstplan!$BK$8:$CO$19)))))-H41</f>
        <v>5</v>
      </c>
      <c r="H41" s="302">
        <f>SUMPRODUCT((ISNUMBER(SEARCH($Y8,Dienstplan!$B$8:$B$19))*(ISNUMBER(SEARCH($AB$8,Dienstplan!$BK$8:$CO$19)))))</f>
        <v>0</v>
      </c>
      <c r="I41" s="302">
        <f>SUMPRODUCT((ISNUMBER(SEARCH($Y8,Dienstplan!$B$8:$B$19))*(ISNUMBER(SEARCH($AB$9,Dienstplan!$BK$8:$CO$19)))))</f>
        <v>0</v>
      </c>
      <c r="J41" s="302">
        <f>SUMPRODUCT((ISNUMBER(SEARCH($Y8,Dienstplan!$B$8:$B$19))*(ISNUMBER(SEARCH($AB$10,Dienstplan!$BK$8:$CO$19)))))</f>
        <v>1</v>
      </c>
      <c r="K41" s="302">
        <f>SUMPRODUCT((ISNUMBER(SEARCH($Y8,Dienstplan!$B$8:$B$19))*(ISNUMBER(SEARCH($AB$11,Dienstplan!$BK$8:$CO$19)))))-$Q41</f>
        <v>2</v>
      </c>
      <c r="L41" s="302">
        <f>SUMPRODUCT((ISNUMBER(SEARCH($Y8,Dienstplan!$B$8:$B$19))*(ISNUMBER(SEARCH($AB$12,Dienstplan!$BK$8:$CO$19)))))</f>
        <v>0</v>
      </c>
      <c r="M41" s="302">
        <f>SUMPRODUCT((ISNUMBER(SEARCH($Y8,Dienstplan!$B$8:$B$19))*(ISNUMBER(SEARCH($AB$13,Dienstplan!$BK$8:$CO$19)))))</f>
        <v>0</v>
      </c>
      <c r="N41" s="302">
        <f>SUMPRODUCT((ISNUMBER(SEARCH($Y8,Dienstplan!$B$8:$B$19))*(ISNUMBER(SEARCH($AB$14,Dienstplan!$BK$8:$CO$19)))))</f>
        <v>0</v>
      </c>
      <c r="O41" s="302">
        <f>SUMPRODUCT((ISNUMBER(SEARCH($Y8,Dienstplan!$B$8:$B$19))*(ISNUMBER(SEARCH($AB$15,Dienstplan!$BK$8:$CO$19)))))</f>
        <v>2</v>
      </c>
      <c r="P41" s="302">
        <f>SUMPRODUCT((ISNUMBER(SEARCH($Y8,Dienstplan!$B$8:$B$19))*(ISNUMBER(SEARCH($AB$16,Dienstplan!$BK$8:$CO$19)))))</f>
        <v>0</v>
      </c>
      <c r="Q41" s="302">
        <f>SUMPRODUCT((ISNUMBER(SEARCH($Y8,Dienstplan!$B$8:$B$19))*(ISNUMBER(SEARCH($AB$17,Dienstplan!$BK$8:$CO$19)))))</f>
        <v>0</v>
      </c>
      <c r="R41" s="302">
        <f>SUMPRODUCT((ISNUMBER(SEARCH($Y8,Dienstplan!$B$8:$B$19))*(ISNUMBER(SEARCH($AB$18,Dienstplan!$BK$8:$CO$19)))))</f>
        <v>0</v>
      </c>
      <c r="S41" s="308">
        <f>SUMPRODUCT((ISNUMBER(SEARCH($Y8,Dienstplan!$B$8:$B$19))*(ISNUMBER(SEARCH($AB$19,Dienstplan!$BK$8:$CO$19)))))</f>
        <v>0</v>
      </c>
      <c r="T41" s="302">
        <f t="shared" si="19"/>
        <v>184</v>
      </c>
      <c r="U41" s="330">
        <f>SUM($C41*Frueh_1+$D41*Spaet_1+$E41*Nacht_1+$F41*Normal_1+$I41*Sonderd_1-$J41*Muster+$K41*Muster+$L41*EH_Kurs+$M41*Koor_taet+$N41*Sekre_1+$O41*Muster+$P41*Muster+$Q41*Muster+$R41*Muster+G41*Muster+H41*Muster)</f>
        <v>116.25</v>
      </c>
      <c r="V41" s="308">
        <f t="shared" si="20"/>
        <v>-67.75</v>
      </c>
      <c r="W41" s="318">
        <f t="shared" si="21"/>
        <v>-120.25</v>
      </c>
    </row>
    <row r="42" ht="12.75" customHeight="1">
      <c r="A42" s="308"/>
      <c r="B42" s="329" t="str">
        <f t="shared" si="18"/>
        <v>Behrendt</v>
      </c>
      <c r="C42" s="302">
        <f t="array" ref="C42">SUMPRODUCT((ISNUMBER(SEARCH($Y9,Dienstplan!$B$8:$B$19))*(ISNUMBER(SEARCH($AB$3,Dienstplan!$BK$8:$CO$19)))))-D42</f>
        <v>5</v>
      </c>
      <c r="D42" s="302">
        <f t="array" ref="D42">SUMPRODUCT((ISNUMBER(SEARCH($Y9,Dienstplan!$B$8:$B$19))*(ISNUMBER(SEARCH($AB$4,Dienstplan!$BK$8:$CO$19)))))</f>
        <v>0</v>
      </c>
      <c r="E42" s="302">
        <f t="array" ref="E42">SUMPRODUCT((ISNUMBER(SEARCH($Y9,Dienstplan!$B$8:$B$19))*(ISNUMBER(SEARCH($AB$5,Dienstplan!$BK$8:$CO$19)))))</f>
        <v>3</v>
      </c>
      <c r="F42" s="302">
        <f t="array" ref="F42">SUMPRODUCT((ISNUMBER(SEARCH($Y9,Dienstplan!$B$8:$B$19))*(ISNUMBER(SEARCH($AB$6,Dienstplan!$BK$8:$CO$19)))))</f>
        <v>5</v>
      </c>
      <c r="G42" s="302">
        <f>SUMPRODUCT((ISNUMBER(SEARCH($Y9,Dienstplan!$B$8:$B$19))*(ISNUMBER(SEARCH($AB$7,Dienstplan!$BK$8:$CO$19)))))-H42</f>
        <v>0</v>
      </c>
      <c r="H42" s="302">
        <f>SUMPRODUCT((ISNUMBER(SEARCH($Y9,Dienstplan!$B$8:$B$19))*(ISNUMBER(SEARCH($AB$8,Dienstplan!$BK$8:$CO$19)))))</f>
        <v>0</v>
      </c>
      <c r="I42" s="302">
        <f>SUMPRODUCT((ISNUMBER(SEARCH($Y9,Dienstplan!$B$8:$B$19))*(ISNUMBER(SEARCH($AB$9,Dienstplan!$BK$8:$CO$19)))))</f>
        <v>0</v>
      </c>
      <c r="J42" s="302">
        <f>SUMPRODUCT((ISNUMBER(SEARCH($Y9,Dienstplan!$B$8:$B$19))*(ISNUMBER(SEARCH($AB$10,Dienstplan!$BK$8:$CO$19)))))</f>
        <v>0</v>
      </c>
      <c r="K42" s="302">
        <f>SUMPRODUCT((ISNUMBER(SEARCH($Y9,Dienstplan!$B$8:$B$19))*(ISNUMBER(SEARCH($AB$11,Dienstplan!$BK$8:$CO$19)))))-$Q42</f>
        <v>0</v>
      </c>
      <c r="L42" s="302">
        <f>SUMPRODUCT((ISNUMBER(SEARCH($Y9,Dienstplan!$B$8:$B$19))*(ISNUMBER(SEARCH($AB$12,Dienstplan!$BK$8:$CO$19)))))</f>
        <v>0</v>
      </c>
      <c r="M42" s="302">
        <f>SUMPRODUCT((ISNUMBER(SEARCH($Y9,Dienstplan!$B$8:$B$19))*(ISNUMBER(SEARCH($AB$13,Dienstplan!$BK$8:$CO$19)))))</f>
        <v>0</v>
      </c>
      <c r="N42" s="302">
        <f>SUMPRODUCT((ISNUMBER(SEARCH($Y9,Dienstplan!$B$8:$B$19))*(ISNUMBER(SEARCH($AB$14,Dienstplan!$BK$8:$CO$19)))))</f>
        <v>0</v>
      </c>
      <c r="O42" s="302">
        <f>SUMPRODUCT((ISNUMBER(SEARCH($Y9,Dienstplan!$B$8:$B$19))*(ISNUMBER(SEARCH($AB$15,Dienstplan!$BK$8:$CO$19)))))</f>
        <v>2</v>
      </c>
      <c r="P42" s="302">
        <f>SUMPRODUCT((ISNUMBER(SEARCH($Y9,Dienstplan!$B$8:$B$19))*(ISNUMBER(SEARCH($AB$16,Dienstplan!$BK$8:$CO$19)))))</f>
        <v>0</v>
      </c>
      <c r="Q42" s="302">
        <f>SUMPRODUCT((ISNUMBER(SEARCH($Y9,Dienstplan!$B$8:$B$19))*(ISNUMBER(SEARCH($AB$17,Dienstplan!$BK$8:$CO$19)))))</f>
        <v>0</v>
      </c>
      <c r="R42" s="302">
        <f>SUMPRODUCT((ISNUMBER(SEARCH($Y9,Dienstplan!$B$8:$B$19))*(ISNUMBER(SEARCH($AB$18,Dienstplan!$BK$8:$CO$19)))))</f>
        <v>0</v>
      </c>
      <c r="S42" s="308">
        <f>SUMPRODUCT((ISNUMBER(SEARCH($Y9,Dienstplan!$B$8:$B$19))*(ISNUMBER(SEARCH($AB$19,Dienstplan!$BK$8:$CO$19)))))</f>
        <v>1</v>
      </c>
      <c r="T42" s="302">
        <f t="shared" si="19"/>
        <v>161</v>
      </c>
      <c r="U42" s="330">
        <f>SUM($C42*Frueh_1+$D42*Spaet_1+$E42*Nacht_1+$F42*Normal_1+$I42*Sonderd_1-$J42*Muster+$K42*Muster+$L42*EH_Kurs+$M42*Koor_taet+$N42*Sekre_1+$O42*Muster+$P42*Muster+$Q42*Muster+$R42*Muster+G42*Muster+H42*Muster)</f>
        <v>112.25</v>
      </c>
      <c r="V42" s="308">
        <f t="shared" si="20"/>
        <v>-48.75</v>
      </c>
      <c r="W42" s="318">
        <f t="shared" si="21"/>
        <v>-120.95</v>
      </c>
    </row>
    <row r="43" ht="12.75" customHeight="1">
      <c r="A43" s="308"/>
      <c r="B43" s="329" t="str">
        <f t="shared" si="18"/>
        <v>Krempl</v>
      </c>
      <c r="C43" s="302">
        <f>SUMPRODUCT((ISNUMBER(SEARCH($Y10,Dienstplan!$B$8:$B$19))*(ISNUMBER(SEARCH($AB$3,Dienstplan!$BK$8:$CO$19)))))-D43</f>
        <v>0</v>
      </c>
      <c r="D43" s="302">
        <f>SUMPRODUCT((ISNUMBER(SEARCH($Y10,Dienstplan!$B$8:$B$19))*(ISNUMBER(SEARCH($AB$4,Dienstplan!$BK$8:$CO$19)))))</f>
        <v>0</v>
      </c>
      <c r="E43" s="302">
        <f>SUMPRODUCT((ISNUMBER(SEARCH($Y10,Dienstplan!$B$8:$B$19))*(ISNUMBER(SEARCH($AB$5,Dienstplan!$BK$8:$CO$19)))))</f>
        <v>0</v>
      </c>
      <c r="F43" s="302">
        <f>SUMPRODUCT((ISNUMBER(SEARCH($Y10,Dienstplan!$B$8:$B$19))*(ISNUMBER(SEARCH($AB$6,Dienstplan!$BK$8:$CO$19)))))</f>
        <v>0</v>
      </c>
      <c r="G43" s="302">
        <f>SUMPRODUCT((ISNUMBER(SEARCH($Y10,Dienstplan!$B$8:$B$19))*(ISNUMBER(SEARCH($AB$7,Dienstplan!$BK$8:$CO$19)))))-H43</f>
        <v>5</v>
      </c>
      <c r="H43" s="302">
        <f>SUMPRODUCT((ISNUMBER(SEARCH($Y10,Dienstplan!$B$8:$B$19))*(ISNUMBER(SEARCH($AB$8,Dienstplan!$BK$8:$CO$19)))))</f>
        <v>0</v>
      </c>
      <c r="I43" s="302">
        <f>SUMPRODUCT((ISNUMBER(SEARCH($Y10,Dienstplan!$B$8:$B$19))*(ISNUMBER(SEARCH($AB$9,Dienstplan!$BK$8:$CO$19)))))</f>
        <v>0</v>
      </c>
      <c r="J43" s="302">
        <f>SUMPRODUCT((ISNUMBER(SEARCH($Y10,Dienstplan!$B$8:$B$19))*(ISNUMBER(SEARCH($AB$10,Dienstplan!$BK$8:$CO$19)))))</f>
        <v>5</v>
      </c>
      <c r="K43" s="302">
        <f>SUMPRODUCT((ISNUMBER(SEARCH($Y10,Dienstplan!$B$8:$B$19))*(ISNUMBER(SEARCH($AB$11,Dienstplan!$BK$8:$CO$19)))))-$Q43</f>
        <v>0</v>
      </c>
      <c r="L43" s="302">
        <f>SUMPRODUCT((ISNUMBER(SEARCH($Y10,Dienstplan!$B$8:$B$19))*(ISNUMBER(SEARCH($AB$12,Dienstplan!$BK$8:$CO$19)))))</f>
        <v>1</v>
      </c>
      <c r="M43" s="302">
        <f>SUMPRODUCT((ISNUMBER(SEARCH($Y10,Dienstplan!$B$8:$B$19))*(ISNUMBER(SEARCH($AB$13,Dienstplan!$BK$8:$CO$19)))))</f>
        <v>0</v>
      </c>
      <c r="N43" s="302">
        <f>SUMPRODUCT((ISNUMBER(SEARCH($Y10,Dienstplan!$B$8:$B$19))*(ISNUMBER(SEARCH($AB$14,Dienstplan!$BK$8:$CO$19)))))</f>
        <v>0</v>
      </c>
      <c r="O43" s="302">
        <f>SUMPRODUCT((ISNUMBER(SEARCH($Y10,Dienstplan!$B$8:$B$19))*(ISNUMBER(SEARCH($AB$15,Dienstplan!$BK$8:$CO$19)))))</f>
        <v>0</v>
      </c>
      <c r="P43" s="302">
        <f>SUMPRODUCT((ISNUMBER(SEARCH($Y10,Dienstplan!$B$8:$B$19))*(ISNUMBER(SEARCH($AB$16,Dienstplan!$BK$8:$CO$19)))))</f>
        <v>0</v>
      </c>
      <c r="Q43" s="302">
        <f>SUMPRODUCT((ISNUMBER(SEARCH($Y10,Dienstplan!$B$8:$B$19))*(ISNUMBER(SEARCH($AB$17,Dienstplan!$BK$8:$CO$19)))))</f>
        <v>0</v>
      </c>
      <c r="R43" s="302">
        <f>SUMPRODUCT((ISNUMBER(SEARCH($Y10,Dienstplan!$B$8:$B$19))*(ISNUMBER(SEARCH($AB$18,Dienstplan!$BK$8:$CO$19)))))</f>
        <v>0</v>
      </c>
      <c r="S43" s="308">
        <f>SUMPRODUCT((ISNUMBER(SEARCH($Y10,Dienstplan!$B$8:$B$19))*(ISNUMBER(SEARCH($AB$19,Dienstplan!$BK$8:$CO$19)))))</f>
        <v>1</v>
      </c>
      <c r="T43" s="302">
        <f t="shared" si="19"/>
        <v>73.6</v>
      </c>
      <c r="U43" s="330">
        <f>SUM($C43*Frueh_1+$D43*Spaet_1+$E43*Nacht_1+$F43*Normal_1+$I43*Sonderd_1-$J43*Krem_E+$K43*Krem_E+$L43*EH_Kurs+$M43*Koor_taet+$N43*Sekre_1+$O43*Krem_E+$R43*Krem_E+$P43*Krem_E+$Q43*Krem_E+G43*Krem_E+H43*Krem_E)</f>
        <v>8</v>
      </c>
      <c r="V43" s="308">
        <f t="shared" si="20"/>
        <v>-65.6</v>
      </c>
      <c r="W43" s="318">
        <f t="shared" si="21"/>
        <v>-147.1</v>
      </c>
    </row>
    <row r="44" ht="12.75" customHeight="1">
      <c r="A44" s="308"/>
      <c r="B44" s="329" t="str">
        <f t="shared" si="18"/>
        <v>Putschler</v>
      </c>
      <c r="C44" s="302">
        <f>SUMPRODUCT((ISNUMBER(SEARCH($Y11,Dienstplan!$B$8:$B$19))*(ISNUMBER(SEARCH($AB$3,Dienstplan!$BK$8:$CO$19)))))-D44</f>
        <v>0</v>
      </c>
      <c r="D44" s="302">
        <f>SUMPRODUCT((ISNUMBER(SEARCH($Y11,Dienstplan!$B$8:$B$19))*(ISNUMBER(SEARCH($AB$4,Dienstplan!$BK$8:$CO$19)))))</f>
        <v>0</v>
      </c>
      <c r="E44" s="302">
        <f>SUMPRODUCT((ISNUMBER(SEARCH($Y11,Dienstplan!$B$8:$B$19))*(ISNUMBER(SEARCH($AB$5,Dienstplan!$BK$8:$CO$19)))))</f>
        <v>0</v>
      </c>
      <c r="F44" s="302">
        <f>SUMPRODUCT((ISNUMBER(SEARCH($Y11,Dienstplan!$B$8:$B$19))*(ISNUMBER(SEARCH($AB$6,Dienstplan!$BK$8:$CO$19)))))</f>
        <v>0</v>
      </c>
      <c r="G44" s="302">
        <f>SUMPRODUCT((ISNUMBER(SEARCH($Y11,Dienstplan!$B$8:$B$19))*(ISNUMBER(SEARCH($AB$7,Dienstplan!$BK$8:$CO$19)))))-H44</f>
        <v>0</v>
      </c>
      <c r="H44" s="302">
        <f>SUMPRODUCT((ISNUMBER(SEARCH($Y11,Dienstplan!$B$8:$B$19))*(ISNUMBER(SEARCH($AB$8,Dienstplan!$BK$8:$CO$19)))))</f>
        <v>0</v>
      </c>
      <c r="I44" s="302">
        <f>SUMPRODUCT((ISNUMBER(SEARCH($Y11,Dienstplan!$B$8:$B$19))*(ISNUMBER(SEARCH($AB$9,Dienstplan!$BK$8:$CO$19)))))</f>
        <v>0</v>
      </c>
      <c r="J44" s="302">
        <f>SUMPRODUCT((ISNUMBER(SEARCH($Y11,Dienstplan!$B$8:$B$19))*(ISNUMBER(SEARCH($AB$10,Dienstplan!$BK$8:$CO$19)))))</f>
        <v>0</v>
      </c>
      <c r="K44" s="302">
        <f>SUMPRODUCT((ISNUMBER(SEARCH($Y11,Dienstplan!$B$8:$B$19))*(ISNUMBER(SEARCH($AB$11,Dienstplan!$BK$8:$CO$19)))))-$Q44</f>
        <v>0</v>
      </c>
      <c r="L44" s="302">
        <f>SUMPRODUCT((ISNUMBER(SEARCH($Y11,Dienstplan!$B$8:$B$19))*(ISNUMBER(SEARCH($AB$12,Dienstplan!$BK$8:$CO$19)))))</f>
        <v>0</v>
      </c>
      <c r="M44" s="302">
        <f>SUMPRODUCT((ISNUMBER(SEARCH($Y11,Dienstplan!$B$8:$B$19))*(ISNUMBER(SEARCH($AB$13,Dienstplan!$BK$8:$CO$19)))))</f>
        <v>5</v>
      </c>
      <c r="N44" s="302">
        <f>SUMPRODUCT((ISNUMBER(SEARCH($Y11,Dienstplan!$B$8:$B$19))*(ISNUMBER(SEARCH($AB$14,Dienstplan!$BK$8:$CO$19)))))</f>
        <v>0</v>
      </c>
      <c r="O44" s="302">
        <f>SUMPRODUCT((ISNUMBER(SEARCH($Y11,Dienstplan!$B$8:$B$19))*(ISNUMBER(SEARCH($AB$15,Dienstplan!$BK$8:$CO$19)))))</f>
        <v>0</v>
      </c>
      <c r="P44" s="302">
        <f>SUMPRODUCT((ISNUMBER(SEARCH($Y11,Dienstplan!$B$8:$B$19))*(ISNUMBER(SEARCH($AB$16,Dienstplan!$BK$8:$CO$19)))))</f>
        <v>0</v>
      </c>
      <c r="Q44" s="302">
        <f>SUMPRODUCT((ISNUMBER(SEARCH($Y11,Dienstplan!$B$8:$B$19))*(ISNUMBER(SEARCH($AB$17,Dienstplan!$BK$8:$CO$19)))))</f>
        <v>0</v>
      </c>
      <c r="R44" s="302">
        <f>SUMPRODUCT((ISNUMBER(SEARCH($Y11,Dienstplan!$B$8:$B$19))*(ISNUMBER(SEARCH($AB$18,Dienstplan!$BK$8:$CO$19)))))</f>
        <v>0</v>
      </c>
      <c r="S44" s="308">
        <f>SUMPRODUCT((ISNUMBER(SEARCH($Y11,Dienstplan!$B$8:$B$19))*(ISNUMBER(SEARCH($AB$19,Dienstplan!$BK$8:$CO$19)))))</f>
        <v>0</v>
      </c>
      <c r="T44" s="302">
        <f t="shared" si="19"/>
        <v>184</v>
      </c>
      <c r="U44" s="330">
        <f>SUM($C44*Frueh_1+$D44*Spaet_1+$E44*Nacht_1+$F44*Normal_1+$I44*Sonderd_1-$J44*Put_W+$K44*Put_W+$L44*EH_Kurs+$M44*Koor_taet+$N44*Sekre_1+$O44*Put_W+$R44*Put_W+$P44*Put_W+$Q44*Put_W+G44*Put_W+H44*Put_W)</f>
        <v>40</v>
      </c>
      <c r="V44" s="308">
        <f t="shared" si="20"/>
        <v>-144</v>
      </c>
      <c r="W44" s="318">
        <f t="shared" si="21"/>
        <v>-136</v>
      </c>
    </row>
    <row r="45" ht="12.75" customHeight="1">
      <c r="A45" s="308"/>
      <c r="B45" s="329" t="str">
        <f t="shared" si="18"/>
        <v>Schmidt</v>
      </c>
      <c r="C45" s="302">
        <f>SUMPRODUCT((ISNUMBER(SEARCH($Y12,Dienstplan!$B$8:$B$19))*(ISNUMBER(SEARCH($AB$3,Dienstplan!$BK$8:$CO$19)))))-D45</f>
        <v>0</v>
      </c>
      <c r="D45" s="302">
        <f>SUMPRODUCT((ISNUMBER(SEARCH($Y12,Dienstplan!$B$8:$B$19))*(ISNUMBER(SEARCH($AB$4,Dienstplan!$BK$8:$CO$19)))))</f>
        <v>0</v>
      </c>
      <c r="E45" s="302">
        <f>SUMPRODUCT((ISNUMBER(SEARCH($Y12,Dienstplan!$B$8:$B$19))*(ISNUMBER(SEARCH($AB$5,Dienstplan!$BK$8:$CO$19)))))</f>
        <v>0</v>
      </c>
      <c r="F45" s="302">
        <f>SUMPRODUCT((ISNUMBER(SEARCH($Y12,Dienstplan!$B$8:$B$19))*(ISNUMBER(SEARCH($AB$6,Dienstplan!$BK$8:$CO$19)))))</f>
        <v>0</v>
      </c>
      <c r="G45" s="302">
        <f>SUMPRODUCT((ISNUMBER(SEARCH($Y12,Dienstplan!$B$8:$B$19))*(ISNUMBER(SEARCH($AB$7,Dienstplan!$BK$8:$CO$19)))))-H45</f>
        <v>0</v>
      </c>
      <c r="H45" s="302">
        <f>SUMPRODUCT((ISNUMBER(SEARCH($Y12,Dienstplan!$B$8:$B$19))*(ISNUMBER(SEARCH($AB$8,Dienstplan!$BK$8:$CO$19)))))</f>
        <v>0</v>
      </c>
      <c r="I45" s="302">
        <f>SUMPRODUCT((ISNUMBER(SEARCH($Y12,Dienstplan!$B$8:$B$19))*(ISNUMBER(SEARCH($AB$9,Dienstplan!$BK$8:$CO$19)))))</f>
        <v>0</v>
      </c>
      <c r="J45" s="302">
        <f>SUMPRODUCT((ISNUMBER(SEARCH($Y12,Dienstplan!$B$8:$B$19))*(ISNUMBER(SEARCH($AB$10,Dienstplan!$BK$8:$CO$19)))))</f>
        <v>0</v>
      </c>
      <c r="K45" s="302">
        <f>SUMPRODUCT((ISNUMBER(SEARCH($Y12,Dienstplan!$B$8:$B$19))*(ISNUMBER(SEARCH($AB$11,Dienstplan!$BK$8:$CO$19)))))-$Q45</f>
        <v>2</v>
      </c>
      <c r="L45" s="302">
        <f>SUMPRODUCT((ISNUMBER(SEARCH($Y12,Dienstplan!$B$8:$B$19))*(ISNUMBER(SEARCH($AB$12,Dienstplan!$BK$8:$CO$19)))))</f>
        <v>0</v>
      </c>
      <c r="M45" s="302">
        <f>SUMPRODUCT((ISNUMBER(SEARCH($Y12,Dienstplan!$B$8:$B$19))*(ISNUMBER(SEARCH($AB$13,Dienstplan!$BK$8:$CO$19)))))</f>
        <v>0</v>
      </c>
      <c r="N45" s="302">
        <f>SUMPRODUCT((ISNUMBER(SEARCH($Y12,Dienstplan!$B$8:$B$19))*(ISNUMBER(SEARCH($AB$14,Dienstplan!$BK$8:$CO$19)))))</f>
        <v>0</v>
      </c>
      <c r="O45" s="302">
        <f>SUMPRODUCT((ISNUMBER(SEARCH($Y12,Dienstplan!$B$8:$B$19))*(ISNUMBER(SEARCH($AB$15,Dienstplan!$BK$8:$CO$19)))))</f>
        <v>0</v>
      </c>
      <c r="P45" s="302">
        <f>SUMPRODUCT((ISNUMBER(SEARCH($Y12,Dienstplan!$B$8:$B$19))*(ISNUMBER(SEARCH($AB$16,Dienstplan!$BK$8:$CO$19)))))</f>
        <v>0</v>
      </c>
      <c r="Q45" s="302">
        <f>SUMPRODUCT((ISNUMBER(SEARCH($Y12,Dienstplan!$B$8:$B$19))*(ISNUMBER(SEARCH($AB$17,Dienstplan!$BK$8:$CO$19)))))</f>
        <v>0</v>
      </c>
      <c r="R45" s="302">
        <f>SUMPRODUCT((ISNUMBER(SEARCH($Y12,Dienstplan!$B$8:$B$19))*(ISNUMBER(SEARCH($AB$18,Dienstplan!$BK$8:$CO$19)))))</f>
        <v>0</v>
      </c>
      <c r="S45" s="308">
        <f>SUMPRODUCT((ISNUMBER(SEARCH($Y12,Dienstplan!$B$8:$B$19))*(ISNUMBER(SEARCH($AB$19,Dienstplan!$BK$8:$CO$19)))))</f>
        <v>0</v>
      </c>
      <c r="T45" s="302">
        <f t="shared" si="19"/>
        <v>161</v>
      </c>
      <c r="U45" s="330">
        <f>SUM($C45*Frueh_1+$D45*Spaet_1+$E45*Nacht_1+$F45*Normal_1+$I45*Sonderd_1-$J45*Radi_L+$K45*Radi_L+$L45*EH_Kurs+$M45*Koor_taet+$N45*Sekre_1+$O45*Radi_L+$R45*Radi_L+$P45*Radi_L+$Q45*Radi_L+G45*Radi_L+H45*Radi_L)</f>
        <v>14</v>
      </c>
      <c r="V45" s="308">
        <f t="shared" si="20"/>
        <v>-147</v>
      </c>
      <c r="W45" s="318">
        <f t="shared" si="21"/>
        <v>-434</v>
      </c>
    </row>
    <row r="46" ht="12.75" customHeight="1">
      <c r="A46" s="308"/>
      <c r="B46" s="329" t="str">
        <f t="shared" si="18"/>
        <v>Radimersky</v>
      </c>
      <c r="C46" s="302">
        <f>SUMPRODUCT((ISNUMBER(SEARCH($Y13,Dienstplan!$B$8:$B$19))*(ISNUMBER(SEARCH($AB$3,Dienstplan!$BK$8:$CO$19)))))-D46</f>
        <v>0</v>
      </c>
      <c r="D46" s="302">
        <f>SUMPRODUCT((ISNUMBER(SEARCH($Y13,Dienstplan!$B$8:$B$19))*(ISNUMBER(SEARCH($AB$4,Dienstplan!$BK$8:$CO$19)))))</f>
        <v>0</v>
      </c>
      <c r="E46" s="302">
        <f>SUMPRODUCT((ISNUMBER(SEARCH($Y13,Dienstplan!$B$8:$B$19))*(ISNUMBER(SEARCH($AB$5,Dienstplan!$BK$8:$CO$19)))))</f>
        <v>0</v>
      </c>
      <c r="F46" s="302">
        <f>SUMPRODUCT((ISNUMBER(SEARCH($Y13,Dienstplan!$B$8:$B$19))*(ISNUMBER(SEARCH($AB$6,Dienstplan!$BK$8:$CO$19)))))</f>
        <v>0</v>
      </c>
      <c r="G46" s="302">
        <f>SUMPRODUCT((ISNUMBER(SEARCH($Y13,Dienstplan!$B$8:$B$19))*(ISNUMBER(SEARCH($AB$7,Dienstplan!$BK$8:$CO$19)))))-H46</f>
        <v>0</v>
      </c>
      <c r="H46" s="302">
        <f>SUMPRODUCT((ISNUMBER(SEARCH($Y13,Dienstplan!$B$8:$B$19))*(ISNUMBER(SEARCH($AB$8,Dienstplan!$BK$8:$CO$19)))))</f>
        <v>0</v>
      </c>
      <c r="I46" s="302">
        <f>SUMPRODUCT((ISNUMBER(SEARCH($Y13,Dienstplan!$B$8:$B$19))*(ISNUMBER(SEARCH($AB$9,Dienstplan!$BK$8:$CO$19)))))</f>
        <v>0</v>
      </c>
      <c r="J46" s="302">
        <f>SUMPRODUCT((ISNUMBER(SEARCH($Y13,Dienstplan!$B$8:$B$19))*(ISNUMBER(SEARCH($AB$10,Dienstplan!$BK$8:$CO$19)))))</f>
        <v>0</v>
      </c>
      <c r="K46" s="302">
        <f>SUMPRODUCT((ISNUMBER(SEARCH($Y13,Dienstplan!$B$8:$B$19))*(ISNUMBER(SEARCH($AB$11,Dienstplan!$BK$8:$CO$19)))))-$Q46</f>
        <v>3</v>
      </c>
      <c r="L46" s="302">
        <f>SUMPRODUCT((ISNUMBER(SEARCH($Y13,Dienstplan!$B$8:$B$19))*(ISNUMBER(SEARCH($AB$12,Dienstplan!$BK$8:$CO$19)))))</f>
        <v>0</v>
      </c>
      <c r="M46" s="302">
        <f>SUMPRODUCT((ISNUMBER(SEARCH($Y13,Dienstplan!$B$8:$B$19))*(ISNUMBER(SEARCH($AB$13,Dienstplan!$BK$8:$CO$19)))))</f>
        <v>0</v>
      </c>
      <c r="N46" s="302">
        <f>SUMPRODUCT((ISNUMBER(SEARCH($Y13,Dienstplan!$B$8:$B$19))*(ISNUMBER(SEARCH($AB$14,Dienstplan!$BK$8:$CO$19)))))</f>
        <v>0</v>
      </c>
      <c r="O46" s="302">
        <f>SUMPRODUCT((ISNUMBER(SEARCH($Y13,Dienstplan!$B$8:$B$19))*(ISNUMBER(SEARCH($AB$15,Dienstplan!$BK$8:$CO$19)))))</f>
        <v>0</v>
      </c>
      <c r="P46" s="302">
        <f>SUMPRODUCT((ISNUMBER(SEARCH($Y13,Dienstplan!$B$8:$B$19))*(ISNUMBER(SEARCH($AB$16,Dienstplan!$BK$8:$CO$19)))))</f>
        <v>0</v>
      </c>
      <c r="Q46" s="302">
        <f>SUMPRODUCT((ISNUMBER(SEARCH($Y13,Dienstplan!$B$8:$B$19))*(ISNUMBER(SEARCH($AB$17,Dienstplan!$BK$8:$CO$19)))))</f>
        <v>0</v>
      </c>
      <c r="R46" s="302">
        <f>SUMPRODUCT((ISNUMBER(SEARCH($Y13,Dienstplan!$B$8:$B$19))*(ISNUMBER(SEARCH($AB$18,Dienstplan!$BK$8:$CO$19)))))</f>
        <v>0</v>
      </c>
      <c r="S46" s="308">
        <f>SUMPRODUCT((ISNUMBER(SEARCH($Y13,Dienstplan!$B$8:$B$19))*(ISNUMBER(SEARCH($AB$19,Dienstplan!$BK$8:$CO$19)))))</f>
        <v>0</v>
      </c>
      <c r="T46" s="302">
        <f t="shared" si="19"/>
        <v>69</v>
      </c>
      <c r="U46" s="330">
        <f>SUM($C46*Frueh_1+$D46*Spaet_1+$E46*Nacht_1+$F46*Normal_1+$I46*Sonderd_1-$J46*Fortenb+$K46*Fortenb+$L46*EH_Kurs+$M46*Koor_taet+$N46*Sekre_1+$O46*Fortenb+$R46*Fortenb+$P46*Fortenb+$Q46*Fortenb+G46*Fortenb+H46*Fortenb)</f>
        <v>9</v>
      </c>
      <c r="V46" s="308">
        <f t="shared" si="20"/>
        <v>-60</v>
      </c>
      <c r="W46" s="318">
        <f t="shared" si="21"/>
        <v>-183</v>
      </c>
    </row>
    <row r="47" ht="12.75" customHeight="1">
      <c r="A47" s="308"/>
      <c r="B47" s="329"/>
      <c r="S47" s="308"/>
      <c r="V47" s="308"/>
      <c r="W47" s="318"/>
    </row>
    <row r="48" ht="12.75" customHeight="1">
      <c r="A48" s="308"/>
      <c r="B48" s="329" t="s">
        <v>134</v>
      </c>
      <c r="C48" s="303">
        <f t="shared" ref="C48:S48" si="22">SUM(C36:C47)</f>
        <v>17</v>
      </c>
      <c r="D48" s="303">
        <f t="shared" si="22"/>
        <v>0</v>
      </c>
      <c r="E48" s="303">
        <f t="shared" si="22"/>
        <v>21</v>
      </c>
      <c r="F48" s="303">
        <f t="shared" si="22"/>
        <v>29</v>
      </c>
      <c r="G48" s="303">
        <f t="shared" si="22"/>
        <v>17</v>
      </c>
      <c r="H48" s="303">
        <f t="shared" si="22"/>
        <v>5</v>
      </c>
      <c r="I48" s="303">
        <f t="shared" si="22"/>
        <v>1</v>
      </c>
      <c r="J48" s="303">
        <f t="shared" si="22"/>
        <v>6</v>
      </c>
      <c r="K48" s="303">
        <f t="shared" si="22"/>
        <v>16</v>
      </c>
      <c r="L48" s="303">
        <f t="shared" si="22"/>
        <v>4</v>
      </c>
      <c r="M48" s="303">
        <f t="shared" si="22"/>
        <v>5</v>
      </c>
      <c r="N48" s="303">
        <f t="shared" si="22"/>
        <v>0</v>
      </c>
      <c r="O48" s="303">
        <f t="shared" si="22"/>
        <v>11</v>
      </c>
      <c r="P48" s="303">
        <f t="shared" si="22"/>
        <v>0</v>
      </c>
      <c r="Q48" s="303">
        <f t="shared" si="22"/>
        <v>0</v>
      </c>
      <c r="R48" s="303">
        <f t="shared" si="22"/>
        <v>0</v>
      </c>
      <c r="S48" s="323">
        <f t="shared" si="22"/>
        <v>6</v>
      </c>
      <c r="T48" s="303">
        <f t="shared" ref="T48:U48" si="23">SUM(T36:T44)</f>
        <v>1453.6</v>
      </c>
      <c r="U48" s="303">
        <f t="shared" si="23"/>
        <v>864.25</v>
      </c>
      <c r="V48" s="323"/>
      <c r="W48" s="324"/>
    </row>
    <row r="49" ht="12.75" customHeight="1">
      <c r="A49" s="308"/>
      <c r="B49" s="309"/>
      <c r="C49" s="300"/>
      <c r="D49" s="300"/>
      <c r="E49" s="300"/>
      <c r="F49" s="300"/>
      <c r="G49" s="300"/>
      <c r="H49" s="300"/>
      <c r="I49" s="300"/>
      <c r="J49" s="300"/>
      <c r="K49" s="300"/>
      <c r="L49" s="300"/>
      <c r="M49" s="300"/>
      <c r="N49" s="300"/>
      <c r="O49" s="300"/>
      <c r="P49" s="300"/>
      <c r="Q49" s="300"/>
      <c r="R49" s="300"/>
      <c r="S49" s="309"/>
      <c r="T49" s="300"/>
      <c r="U49" s="300"/>
      <c r="V49" s="309"/>
      <c r="W49" s="310"/>
    </row>
    <row r="50" ht="12.75" customHeight="1">
      <c r="A50" s="308"/>
      <c r="B50" s="312" t="s">
        <v>161</v>
      </c>
      <c r="D50" s="313" t="s">
        <v>136</v>
      </c>
      <c r="E50" s="314"/>
      <c r="F50" s="315">
        <v>18.0</v>
      </c>
      <c r="G50" s="316"/>
      <c r="H50" s="317"/>
      <c r="I50" s="313" t="s">
        <v>137</v>
      </c>
      <c r="J50" s="314"/>
      <c r="K50" s="315">
        <v>5.0</v>
      </c>
      <c r="S50" s="308"/>
      <c r="V50" s="308"/>
      <c r="W50" s="318"/>
    </row>
    <row r="51" ht="12.75" customHeight="1">
      <c r="A51" s="308"/>
      <c r="B51" s="308"/>
      <c r="C51" s="303" t="str">
        <f>Jahr!C3</f>
        <v>FI</v>
      </c>
      <c r="D51" s="303" t="str">
        <f>Jahr!D3</f>
        <v>FII</v>
      </c>
      <c r="E51" s="303" t="str">
        <f>Jahr!E3</f>
        <v>SI</v>
      </c>
      <c r="F51" s="303" t="str">
        <f>Jahr!F3</f>
        <v>NI</v>
      </c>
      <c r="G51" s="303" t="str">
        <f>Jahr!G3</f>
        <v>DI</v>
      </c>
      <c r="H51" s="303" t="str">
        <f>Jahr!H3</f>
        <v>DII</v>
      </c>
      <c r="I51" s="303" t="str">
        <f>Jahr!I3</f>
        <v>SD</v>
      </c>
      <c r="J51" s="303" t="str">
        <f>Jahr!J3</f>
        <v>GT</v>
      </c>
      <c r="K51" s="303" t="str">
        <f>Jahr!K3</f>
        <v>U</v>
      </c>
      <c r="L51" s="303" t="str">
        <f>Jahr!L3</f>
        <v>EH</v>
      </c>
      <c r="M51" s="303" t="str">
        <f>Jahr!M3</f>
        <v>KT</v>
      </c>
      <c r="N51" s="303" t="str">
        <f>Jahr!N3</f>
        <v>Sek</v>
      </c>
      <c r="O51" s="303" t="str">
        <f>Jahr!O3</f>
        <v>Fobi</v>
      </c>
      <c r="P51" s="303" t="str">
        <f>Jahr!P3</f>
        <v>A</v>
      </c>
      <c r="Q51" s="303" t="str">
        <f>Jahr!Q3</f>
        <v>Kur</v>
      </c>
      <c r="R51" s="303" t="str">
        <f>Jahr!R3</f>
        <v>FZC</v>
      </c>
      <c r="S51" s="303" t="str">
        <f>Jahr!S3</f>
        <v>NST</v>
      </c>
      <c r="T51" s="303" t="s">
        <v>144</v>
      </c>
      <c r="U51" s="303" t="s">
        <v>145</v>
      </c>
      <c r="V51" s="323" t="s">
        <v>146</v>
      </c>
      <c r="W51" s="324" t="s">
        <v>147</v>
      </c>
    </row>
    <row r="52" ht="12.75" customHeight="1">
      <c r="A52" s="308"/>
      <c r="B52" s="329" t="str">
        <f t="shared" ref="B52:B62" si="24">B4</f>
        <v>Breig</v>
      </c>
      <c r="C52" s="302">
        <f>SUMPRODUCT((ISNUMBER(SEARCH($Y3,Dienstplan!$B$8:$B$19))*(ISNUMBER(SEARCH($AB$3,Dienstplan!$CP$8:$DS$19)))))-D52</f>
        <v>5</v>
      </c>
      <c r="D52" s="302">
        <f>SUMPRODUCT((ISNUMBER(SEARCH($Y3,Dienstplan!$B$8:$B$19))*(ISNUMBER(SEARCH($AB$4,Dienstplan!$CP$8:$DS$19)))))</f>
        <v>0</v>
      </c>
      <c r="E52" s="302">
        <f>SUMPRODUCT((ISNUMBER(SEARCH($Y3,Dienstplan!$B$8:$B$19))*(ISNUMBER(SEARCH($AB$5,Dienstplan!$CP$8:$DS$19)))))</f>
        <v>5</v>
      </c>
      <c r="F52" s="302">
        <f>SUMPRODUCT((ISNUMBER(SEARCH($Y3,Dienstplan!$B$8:$B$19))*(ISNUMBER(SEARCH($AB$6,Dienstplan!$CP$8:$DS$19)))))</f>
        <v>3</v>
      </c>
      <c r="G52" s="302">
        <f>SUMPRODUCT((ISNUMBER(SEARCH($Y3,Dienstplan!$B$8:$B$19))*(ISNUMBER(SEARCH($AB$7,Dienstplan!$CP$8:$DS$19)))))-H52</f>
        <v>0</v>
      </c>
      <c r="H52" s="302">
        <f>SUMPRODUCT((ISNUMBER(SEARCH($Y3,Dienstplan!$B$8:$B$19))*(ISNUMBER(SEARCH($AB$8,Dienstplan!$CP$8:$DS$19)))))</f>
        <v>0</v>
      </c>
      <c r="I52" s="302">
        <f>SUMPRODUCT((ISNUMBER(SEARCH($Y3,Dienstplan!$B$8:$B$19))*(ISNUMBER(SEARCH($AB$9,Dienstplan!$CP$8:$DS$19)))))</f>
        <v>0</v>
      </c>
      <c r="J52" s="302">
        <f>SUMPRODUCT((ISNUMBER(SEARCH($Y3,Dienstplan!$B$8:$B$19))*(ISNUMBER(SEARCH($AB$10,Dienstplan!$CP$8:$DS$19)))))</f>
        <v>0</v>
      </c>
      <c r="K52" s="302">
        <f>SUMPRODUCT((ISNUMBER(SEARCH($Y3,Dienstplan!$B$8:$B$19))*(ISNUMBER(SEARCH($AB$11,Dienstplan!$CP$8:$DS$19)))))-$Q52</f>
        <v>0</v>
      </c>
      <c r="L52" s="302">
        <f>SUMPRODUCT((ISNUMBER(SEARCH($Y3,Dienstplan!$B$8:$B$19))*(ISNUMBER(SEARCH($AB$12,Dienstplan!$CP$8:$DS$19)))))</f>
        <v>0</v>
      </c>
      <c r="M52" s="302">
        <f>SUMPRODUCT((ISNUMBER(SEARCH($Y3,Dienstplan!$B$8:$B$19))*(ISNUMBER(SEARCH($AB$13,Dienstplan!$CP$8:$DS$19)))))</f>
        <v>0</v>
      </c>
      <c r="N52" s="302">
        <f>SUMPRODUCT((ISNUMBER(SEARCH($Y3,Dienstplan!$B$8:$B$19))*(ISNUMBER(SEARCH($AB$14,Dienstplan!$CP$8:$DS$19)))))</f>
        <v>0</v>
      </c>
      <c r="O52" s="302">
        <f>SUMPRODUCT((ISNUMBER(SEARCH($Y3,Dienstplan!$B$8:$B$19))*(ISNUMBER(SEARCH($AB$15,Dienstplan!$CP$8:$DS$19)))))</f>
        <v>0</v>
      </c>
      <c r="P52" s="302">
        <f>SUMPRODUCT((ISNUMBER(SEARCH($Y3,Dienstplan!$B$8:$B$19))*(ISNUMBER(SEARCH($AB$16,Dienstplan!$CP$8:$DS$19)))))</f>
        <v>0</v>
      </c>
      <c r="Q52" s="302">
        <f>SUMPRODUCT((ISNUMBER(SEARCH($Y3,Dienstplan!$B$8:$B$19))*(ISNUMBER(SEARCH($AB$17,Dienstplan!$CP$8:$DS$19)))))</f>
        <v>0</v>
      </c>
      <c r="R52" s="302">
        <f>SUMPRODUCT((ISNUMBER(SEARCH($Y3,Dienstplan!$B$8:$B$19))*(ISNUMBER(SEARCH($AB$18,Dienstplan!$CP$8:$DS$19)))))</f>
        <v>0</v>
      </c>
      <c r="S52" s="308">
        <f>SUMPRODUCT((ISNUMBER(SEARCH($Y3,Dienstplan!$B$8:$B$19))*(ISNUMBER(SEARCH($AB$19,Dienstplan!$CP$8:$DS$19)))))</f>
        <v>1</v>
      </c>
      <c r="T52" s="302">
        <f t="shared" ref="T52:T62" si="25">SUM($F$50*$Z3)</f>
        <v>144</v>
      </c>
      <c r="U52" s="330">
        <f>SUM($C52*Frueh_1+$D52*Spaet_1+$E52*Nacht_1+$F52*Normal_1+$I52*Sonderd_1-$J52*Velten+$K52*Velten+$L52*EH_Kurs+$M52*Koor_taet+$N52*Sekre_1+$O52*Velten+$R52*Velten+$P52*Velten+$Q52*Velten+G52*Velt_M+H52*Velt_M)</f>
        <v>96.25</v>
      </c>
      <c r="V52" s="308">
        <f t="shared" ref="V52:V62" si="26">SUM($U52-$T52)</f>
        <v>-47.75</v>
      </c>
      <c r="W52" s="318">
        <f t="shared" ref="W52:W62" si="27">V52+W36</f>
        <v>-126.5</v>
      </c>
    </row>
    <row r="53" ht="12.75" customHeight="1">
      <c r="A53" s="308"/>
      <c r="B53" s="329" t="str">
        <f t="shared" si="24"/>
        <v>Siebert</v>
      </c>
      <c r="C53" s="302">
        <f>SUMPRODUCT((ISNUMBER(SEARCH($Y4,Dienstplan!$B$8:$B$19))*(ISNUMBER(SEARCH($AB$3,Dienstplan!$CP$8:$DS$19)))))-D53</f>
        <v>0</v>
      </c>
      <c r="D53" s="302">
        <f>SUMPRODUCT((ISNUMBER(SEARCH($Y4,Dienstplan!$B$8:$B$19))*(ISNUMBER(SEARCH($AB$4,Dienstplan!$CP$8:$DS$19)))))</f>
        <v>0</v>
      </c>
      <c r="E53" s="302">
        <f>SUMPRODUCT((ISNUMBER(SEARCH($Y4,Dienstplan!$B$8:$B$19))*(ISNUMBER(SEARCH($AB$5,Dienstplan!$CP$8:$DS$19)))))</f>
        <v>0</v>
      </c>
      <c r="F53" s="302">
        <f>SUMPRODUCT((ISNUMBER(SEARCH($Y4,Dienstplan!$B$8:$B$19))*(ISNUMBER(SEARCH($AB$6,Dienstplan!$CP$8:$DS$19)))))</f>
        <v>5</v>
      </c>
      <c r="G53" s="302">
        <f>SUMPRODUCT((ISNUMBER(SEARCH($Y4,Dienstplan!$B$8:$B$19))*(ISNUMBER(SEARCH($AB$7,Dienstplan!$CP$8:$DS$19)))))-H53</f>
        <v>0</v>
      </c>
      <c r="H53" s="302">
        <f>SUMPRODUCT((ISNUMBER(SEARCH($Y4,Dienstplan!$B$8:$B$19))*(ISNUMBER(SEARCH($AB$8,Dienstplan!$CP$8:$DS$19)))))</f>
        <v>0</v>
      </c>
      <c r="I53" s="302">
        <f>SUMPRODUCT((ISNUMBER(SEARCH($Y4,Dienstplan!$B$8:$B$19))*(ISNUMBER(SEARCH($AB$9,Dienstplan!$CP$8:$DS$19)))))</f>
        <v>0</v>
      </c>
      <c r="J53" s="302">
        <f>SUMPRODUCT((ISNUMBER(SEARCH($Y4,Dienstplan!$B$8:$B$19))*(ISNUMBER(SEARCH($AB$10,Dienstplan!$CP$8:$DS$19)))))</f>
        <v>0</v>
      </c>
      <c r="K53" s="302">
        <f>SUMPRODUCT((ISNUMBER(SEARCH($Y4,Dienstplan!$B$8:$B$19))*(ISNUMBER(SEARCH($AB$11,Dienstplan!$CP$8:$DS$19)))))-$Q53</f>
        <v>7</v>
      </c>
      <c r="L53" s="302">
        <f>SUMPRODUCT((ISNUMBER(SEARCH($Y4,Dienstplan!$B$8:$B$19))*(ISNUMBER(SEARCH($AB$12,Dienstplan!$CP$8:$DS$19)))))</f>
        <v>0</v>
      </c>
      <c r="M53" s="302">
        <f>SUMPRODUCT((ISNUMBER(SEARCH($Y4,Dienstplan!$B$8:$B$19))*(ISNUMBER(SEARCH($AB$13,Dienstplan!$CP$8:$DS$19)))))</f>
        <v>0</v>
      </c>
      <c r="N53" s="302">
        <f>SUMPRODUCT((ISNUMBER(SEARCH($Y4,Dienstplan!$B$8:$B$19))*(ISNUMBER(SEARCH($AB$14,Dienstplan!$CP$8:$DS$19)))))</f>
        <v>0</v>
      </c>
      <c r="O53" s="302">
        <f>SUMPRODUCT((ISNUMBER(SEARCH($Y4,Dienstplan!$B$8:$B$19))*(ISNUMBER(SEARCH($AB$15,Dienstplan!$CP$8:$DS$19)))))</f>
        <v>0</v>
      </c>
      <c r="P53" s="302">
        <f>SUMPRODUCT((ISNUMBER(SEARCH($Y4,Dienstplan!$B$8:$B$19))*(ISNUMBER(SEARCH($AB$16,Dienstplan!$CP$8:$DS$19)))))</f>
        <v>0</v>
      </c>
      <c r="Q53" s="302">
        <f>SUMPRODUCT((ISNUMBER(SEARCH($Y4,Dienstplan!$B$8:$B$19))*(ISNUMBER(SEARCH($AB$17,Dienstplan!$CP$8:$DS$19)))))</f>
        <v>0</v>
      </c>
      <c r="R53" s="302">
        <f>SUMPRODUCT((ISNUMBER(SEARCH($Y4,Dienstplan!$B$8:$B$19))*(ISNUMBER(SEARCH($AB$18,Dienstplan!$CP$8:$DS$19)))))</f>
        <v>0</v>
      </c>
      <c r="S53" s="308">
        <f>SUMPRODUCT((ISNUMBER(SEARCH($Y4,Dienstplan!$B$8:$B$19))*(ISNUMBER(SEARCH($AB$19,Dienstplan!$CP$8:$DS$19)))))</f>
        <v>1</v>
      </c>
      <c r="T53" s="302">
        <f t="shared" si="25"/>
        <v>126</v>
      </c>
      <c r="U53" s="330">
        <f>SUM($C53*Frueh_1+$D53*Spaet_1+$E53*Nacht_1+$F53*Normal_1+$I53*Sonderd_1-$J53*Brue_H+$K53*Brue_H+$L53*EH_Kurs+$M53*Koor_taet+$N53*Sekre_1+$O53*Brue_H+$R53*Brue_H+$P53*Brue_H+$Q53*Brue_H+G53*Brue_H+H53*Brue_H)</f>
        <v>86.5</v>
      </c>
      <c r="V53" s="308">
        <f t="shared" si="26"/>
        <v>-39.5</v>
      </c>
      <c r="W53" s="318">
        <f t="shared" si="27"/>
        <v>-81.75</v>
      </c>
    </row>
    <row r="54" ht="12.75" customHeight="1">
      <c r="A54" s="308"/>
      <c r="B54" s="329" t="str">
        <f t="shared" si="24"/>
        <v>Jochim</v>
      </c>
      <c r="C54" s="302">
        <f>SUMPRODUCT((ISNUMBER(SEARCH($Y5,Dienstplan!$B$8:$B$19))*(ISNUMBER(SEARCH($AB$3,Dienstplan!$CP$8:$DS$19)))))-D54</f>
        <v>0</v>
      </c>
      <c r="D54" s="302">
        <f>SUMPRODUCT((ISNUMBER(SEARCH($Y5,Dienstplan!$B$8:$B$19))*(ISNUMBER(SEARCH($AB$4,Dienstplan!$CP$8:$DS$19)))))</f>
        <v>0</v>
      </c>
      <c r="E54" s="302">
        <f>SUMPRODUCT((ISNUMBER(SEARCH($Y5,Dienstplan!$B$8:$B$19))*(ISNUMBER(SEARCH($AB$5,Dienstplan!$CP$8:$DS$19)))))</f>
        <v>0</v>
      </c>
      <c r="F54" s="302">
        <f>SUMPRODUCT((ISNUMBER(SEARCH($Y5,Dienstplan!$B$8:$B$19))*(ISNUMBER(SEARCH($AB$6,Dienstplan!$CP$8:$DS$19)))))</f>
        <v>0</v>
      </c>
      <c r="G54" s="302">
        <f>SUMPRODUCT((ISNUMBER(SEARCH($Y5,Dienstplan!$B$8:$B$19))*(ISNUMBER(SEARCH($AB$7,Dienstplan!$CP$8:$DS$19)))))-H54</f>
        <v>0</v>
      </c>
      <c r="H54" s="302">
        <f>SUMPRODUCT((ISNUMBER(SEARCH($Y5,Dienstplan!$B$8:$B$19))*(ISNUMBER(SEARCH($AB$8,Dienstplan!$CP$8:$DS$19)))))</f>
        <v>0</v>
      </c>
      <c r="I54" s="302">
        <f>SUMPRODUCT((ISNUMBER(SEARCH($Y5,Dienstplan!$B$8:$B$19))*(ISNUMBER(SEARCH($AB$9,Dienstplan!$CP$8:$DS$19)))))</f>
        <v>0</v>
      </c>
      <c r="J54" s="302">
        <f>SUMPRODUCT((ISNUMBER(SEARCH($Y5,Dienstplan!$B$8:$B$19))*(ISNUMBER(SEARCH($AB$10,Dienstplan!$CP$8:$DS$19)))))</f>
        <v>0</v>
      </c>
      <c r="K54" s="302">
        <f>SUMPRODUCT((ISNUMBER(SEARCH($Y5,Dienstplan!$B$8:$B$19))*(ISNUMBER(SEARCH($AB$11,Dienstplan!$CP$8:$DS$19)))))-$Q54</f>
        <v>0</v>
      </c>
      <c r="L54" s="302">
        <f>SUMPRODUCT((ISNUMBER(SEARCH($Y5,Dienstplan!$B$8:$B$19))*(ISNUMBER(SEARCH($AB$12,Dienstplan!$CP$8:$DS$19)))))</f>
        <v>0</v>
      </c>
      <c r="M54" s="302">
        <f>SUMPRODUCT((ISNUMBER(SEARCH($Y5,Dienstplan!$B$8:$B$19))*(ISNUMBER(SEARCH($AB$13,Dienstplan!$CP$8:$DS$19)))))</f>
        <v>0</v>
      </c>
      <c r="N54" s="302">
        <f>SUMPRODUCT((ISNUMBER(SEARCH($Y5,Dienstplan!$B$8:$B$19))*(ISNUMBER(SEARCH($AB$14,Dienstplan!$CP$8:$DS$19)))))</f>
        <v>0</v>
      </c>
      <c r="O54" s="302">
        <f>SUMPRODUCT((ISNUMBER(SEARCH($Y5,Dienstplan!$B$8:$B$19))*(ISNUMBER(SEARCH($AB$15,Dienstplan!$CP$8:$DS$19)))))</f>
        <v>0</v>
      </c>
      <c r="P54" s="302">
        <f>SUMPRODUCT((ISNUMBER(SEARCH($Y5,Dienstplan!$B$8:$B$19))*(ISNUMBER(SEARCH($AB$16,Dienstplan!$CP$8:$DS$19)))))</f>
        <v>0</v>
      </c>
      <c r="Q54" s="302">
        <f>SUMPRODUCT((ISNUMBER(SEARCH($Y5,Dienstplan!$B$8:$B$19))*(ISNUMBER(SEARCH($AB$17,Dienstplan!$CP$8:$DS$19)))))</f>
        <v>0</v>
      </c>
      <c r="R54" s="302">
        <f>SUMPRODUCT((ISNUMBER(SEARCH($Y5,Dienstplan!$B$8:$B$19))*(ISNUMBER(SEARCH($AB$18,Dienstplan!$CP$8:$DS$19)))))</f>
        <v>0</v>
      </c>
      <c r="S54" s="308">
        <f>SUMPRODUCT((ISNUMBER(SEARCH($Y5,Dienstplan!$B$8:$B$19))*(ISNUMBER(SEARCH($AB$19,Dienstplan!$CP$8:$DS$19)))))</f>
        <v>0</v>
      </c>
      <c r="T54" s="302">
        <f t="shared" si="25"/>
        <v>126</v>
      </c>
      <c r="U54" s="330">
        <f>SUM($C54*Frueh_1+$D54*Spaet_1+$E54*Nacht_1+$F54*Normal_1+$I54*Sonderd_1-$J54*Rath_M+$K54*Rath_M+$L54*EH_Kurs+$M54*Koor_taet+$N54*Sekre_1+$O54*Rath_M+$R54*Rath_M+$P54*Rath_M+$Q54*Rath_M+G54*Rath_M+H54*Rath_M)</f>
        <v>0</v>
      </c>
      <c r="V54" s="308">
        <f t="shared" si="26"/>
        <v>-126</v>
      </c>
      <c r="W54" s="318">
        <f t="shared" si="27"/>
        <v>-439.75</v>
      </c>
    </row>
    <row r="55" ht="12.75" customHeight="1">
      <c r="A55" s="308"/>
      <c r="B55" s="329" t="str">
        <f t="shared" si="24"/>
        <v>Wunsch</v>
      </c>
      <c r="C55" s="302">
        <f>SUMPRODUCT((ISNUMBER(SEARCH($Y6,Dienstplan!$B$8:$B$19))*(ISNUMBER(SEARCH($AB$3,Dienstplan!$CP$8:$DS$19)))))-D55</f>
        <v>0</v>
      </c>
      <c r="D55" s="302">
        <f>SUMPRODUCT((ISNUMBER(SEARCH($Y6,Dienstplan!$B$8:$B$19))*(ISNUMBER(SEARCH($AB$4,Dienstplan!$CP$8:$DS$19)))))</f>
        <v>0</v>
      </c>
      <c r="E55" s="302">
        <f>SUMPRODUCT((ISNUMBER(SEARCH($Y6,Dienstplan!$B$8:$B$19))*(ISNUMBER(SEARCH($AB$5,Dienstplan!$CP$8:$DS$19)))))</f>
        <v>0</v>
      </c>
      <c r="F55" s="302">
        <f>SUMPRODUCT((ISNUMBER(SEARCH($Y6,Dienstplan!$B$8:$B$19))*(ISNUMBER(SEARCH($AB$6,Dienstplan!$CP$8:$DS$19)))))</f>
        <v>5</v>
      </c>
      <c r="G55" s="302">
        <f>SUMPRODUCT((ISNUMBER(SEARCH($Y6,Dienstplan!$B$8:$B$19))*(ISNUMBER(SEARCH($AB$7,Dienstplan!$CP$8:$DS$19)))))-H55</f>
        <v>0</v>
      </c>
      <c r="H55" s="302">
        <f>SUMPRODUCT((ISNUMBER(SEARCH($Y6,Dienstplan!$B$8:$B$19))*(ISNUMBER(SEARCH($AB$8,Dienstplan!$CP$8:$DS$19)))))</f>
        <v>0</v>
      </c>
      <c r="I55" s="302">
        <f>SUMPRODUCT((ISNUMBER(SEARCH($Y6,Dienstplan!$B$8:$B$19))*(ISNUMBER(SEARCH($AB$9,Dienstplan!$CP$8:$DS$19)))))</f>
        <v>0</v>
      </c>
      <c r="J55" s="302">
        <f>SUMPRODUCT((ISNUMBER(SEARCH($Y6,Dienstplan!$B$8:$B$19))*(ISNUMBER(SEARCH($AB$10,Dienstplan!$CP$8:$DS$19)))))</f>
        <v>1</v>
      </c>
      <c r="K55" s="302">
        <f>SUMPRODUCT((ISNUMBER(SEARCH($Y6,Dienstplan!$B$8:$B$19))*(ISNUMBER(SEARCH($AB$11,Dienstplan!$CP$8:$DS$19)))))-$Q55</f>
        <v>0</v>
      </c>
      <c r="L55" s="302">
        <f>SUMPRODUCT((ISNUMBER(SEARCH($Y6,Dienstplan!$B$8:$B$19))*(ISNUMBER(SEARCH($AB$12,Dienstplan!$CP$8:$DS$19)))))</f>
        <v>1</v>
      </c>
      <c r="M55" s="302">
        <f>SUMPRODUCT((ISNUMBER(SEARCH($Y6,Dienstplan!$B$8:$B$19))*(ISNUMBER(SEARCH($AB$13,Dienstplan!$CP$8:$DS$19)))))</f>
        <v>0</v>
      </c>
      <c r="N55" s="302">
        <f>SUMPRODUCT((ISNUMBER(SEARCH($Y6,Dienstplan!$B$8:$B$19))*(ISNUMBER(SEARCH($AB$14,Dienstplan!$CP$8:$DS$19)))))</f>
        <v>0</v>
      </c>
      <c r="O55" s="302">
        <f>SUMPRODUCT((ISNUMBER(SEARCH($Y6,Dienstplan!$B$8:$B$19))*(ISNUMBER(SEARCH($AB$15,Dienstplan!$CP$8:$DS$19)))))</f>
        <v>3</v>
      </c>
      <c r="P55" s="302">
        <f>SUMPRODUCT((ISNUMBER(SEARCH($Y6,Dienstplan!$B$8:$B$19))*(ISNUMBER(SEARCH($AB$16,Dienstplan!$CP$8:$DS$19)))))</f>
        <v>0</v>
      </c>
      <c r="Q55" s="302">
        <f>SUMPRODUCT((ISNUMBER(SEARCH($Y6,Dienstplan!$B$8:$B$19))*(ISNUMBER(SEARCH($AB$17,Dienstplan!$CP$8:$DS$19)))))</f>
        <v>0</v>
      </c>
      <c r="R55" s="302">
        <f>SUMPRODUCT((ISNUMBER(SEARCH($Y6,Dienstplan!$B$8:$B$19))*(ISNUMBER(SEARCH($AB$18,Dienstplan!$CP$8:$DS$19)))))</f>
        <v>0</v>
      </c>
      <c r="S55" s="308">
        <f>SUMPRODUCT((ISNUMBER(SEARCH($Y6,Dienstplan!$B$8:$B$19))*(ISNUMBER(SEARCH($AB$19,Dienstplan!$CP$8:$DS$19)))))</f>
        <v>0</v>
      </c>
      <c r="T55" s="302">
        <f t="shared" si="25"/>
        <v>144</v>
      </c>
      <c r="U55" s="330">
        <f>SUM($C55*Frueh_1+$D55*Spaet_1+$E55*Nacht_1+$F55*Normal_1+$I55*Sonderd_1-$J55*Scho_K+$K55*Scho_K+$L55*EH_Kurs+$M55*Koor_taet+$N55*Sekre_1+$O55*Scho_K+$R55*Scho_K+$P55*Scho_K+$Q55*Scho_K+G55*Scho_K+H55*Scho_K)</f>
        <v>61.5</v>
      </c>
      <c r="V55" s="308">
        <f t="shared" si="26"/>
        <v>-82.5</v>
      </c>
      <c r="W55" s="318">
        <f t="shared" si="27"/>
        <v>-194</v>
      </c>
    </row>
    <row r="56" ht="12.75" customHeight="1">
      <c r="A56" s="308"/>
      <c r="B56" s="329" t="str">
        <f t="shared" si="24"/>
        <v>Göpfrich</v>
      </c>
      <c r="C56" s="302">
        <f>SUMPRODUCT((ISNUMBER(SEARCH($Y7,Dienstplan!$B$8:$B$19))*(ISNUMBER(SEARCH($AB$3,Dienstplan!$CP$8:$DS$19)))))-D56</f>
        <v>0</v>
      </c>
      <c r="D56" s="302">
        <f>SUMPRODUCT((ISNUMBER(SEARCH($Y7,Dienstplan!$B$8:$B$19))*(ISNUMBER(SEARCH($AB$4,Dienstplan!$CP$8:$DS$19)))))</f>
        <v>0</v>
      </c>
      <c r="E56" s="302">
        <f>SUMPRODUCT((ISNUMBER(SEARCH($Y7,Dienstplan!$B$8:$B$19))*(ISNUMBER(SEARCH($AB$5,Dienstplan!$CP$8:$DS$19)))))</f>
        <v>6</v>
      </c>
      <c r="F56" s="302">
        <f>SUMPRODUCT((ISNUMBER(SEARCH($Y7,Dienstplan!$B$8:$B$19))*(ISNUMBER(SEARCH($AB$6,Dienstplan!$CP$8:$DS$19)))))</f>
        <v>0</v>
      </c>
      <c r="G56" s="302">
        <f>SUMPRODUCT((ISNUMBER(SEARCH($Y7,Dienstplan!$B$8:$B$19))*(ISNUMBER(SEARCH($AB$7,Dienstplan!$CP$8:$DS$19)))))-H56</f>
        <v>0</v>
      </c>
      <c r="H56" s="302">
        <f>SUMPRODUCT((ISNUMBER(SEARCH($Y7,Dienstplan!$B$8:$B$19))*(ISNUMBER(SEARCH($AB$8,Dienstplan!$CP$8:$DS$19)))))</f>
        <v>0</v>
      </c>
      <c r="I56" s="302">
        <f>SUMPRODUCT((ISNUMBER(SEARCH($Y7,Dienstplan!$B$8:$B$19))*(ISNUMBER(SEARCH($AB$9,Dienstplan!$CP$8:$DS$19)))))</f>
        <v>0</v>
      </c>
      <c r="J56" s="302">
        <f>SUMPRODUCT((ISNUMBER(SEARCH($Y7,Dienstplan!$B$8:$B$19))*(ISNUMBER(SEARCH($AB$10,Dienstplan!$CP$8:$DS$19)))))</f>
        <v>0</v>
      </c>
      <c r="K56" s="302">
        <f>SUMPRODUCT((ISNUMBER(SEARCH($Y7,Dienstplan!$B$8:$B$19))*(ISNUMBER(SEARCH($AB$11,Dienstplan!$CP$8:$DS$19)))))-$Q56</f>
        <v>4</v>
      </c>
      <c r="L56" s="302">
        <f>SUMPRODUCT((ISNUMBER(SEARCH($Y7,Dienstplan!$B$8:$B$19))*(ISNUMBER(SEARCH($AB$12,Dienstplan!$CP$8:$DS$19)))))</f>
        <v>1</v>
      </c>
      <c r="M56" s="302">
        <f>SUMPRODUCT((ISNUMBER(SEARCH($Y7,Dienstplan!$B$8:$B$19))*(ISNUMBER(SEARCH($AB$13,Dienstplan!$CP$8:$DS$19)))))</f>
        <v>0</v>
      </c>
      <c r="N56" s="302">
        <f>SUMPRODUCT((ISNUMBER(SEARCH($Y7,Dienstplan!$B$8:$B$19))*(ISNUMBER(SEARCH($AB$14,Dienstplan!$CP$8:$DS$19)))))</f>
        <v>0</v>
      </c>
      <c r="O56" s="302">
        <f>SUMPRODUCT((ISNUMBER(SEARCH($Y7,Dienstplan!$B$8:$B$19))*(ISNUMBER(SEARCH($AB$15,Dienstplan!$CP$8:$DS$19)))))</f>
        <v>0</v>
      </c>
      <c r="P56" s="302">
        <f>SUMPRODUCT((ISNUMBER(SEARCH($Y7,Dienstplan!$B$8:$B$19))*(ISNUMBER(SEARCH($AB$16,Dienstplan!$CP$8:$DS$19)))))</f>
        <v>0</v>
      </c>
      <c r="Q56" s="302">
        <f>SUMPRODUCT((ISNUMBER(SEARCH($Y7,Dienstplan!$B$8:$B$19))*(ISNUMBER(SEARCH($AB$17,Dienstplan!$CP$8:$DS$19)))))</f>
        <v>0</v>
      </c>
      <c r="R56" s="302">
        <f>SUMPRODUCT((ISNUMBER(SEARCH($Y7,Dienstplan!$B$8:$B$19))*(ISNUMBER(SEARCH($AB$18,Dienstplan!$CP$8:$DS$19)))))</f>
        <v>0</v>
      </c>
      <c r="S56" s="308">
        <f>SUMPRODUCT((ISNUMBER(SEARCH($Y7,Dienstplan!$B$8:$B$19))*(ISNUMBER(SEARCH($AB$19,Dienstplan!$CP$8:$DS$19)))))</f>
        <v>0</v>
      </c>
      <c r="T56" s="302">
        <f t="shared" si="25"/>
        <v>126</v>
      </c>
      <c r="U56" s="330">
        <f>SUM($C56*Frueh_1+$D56*Spaet_1+$E56*Nacht_1+$F56*Normal_1+$I56*Sonderd_1-$J56*Krie_B+$K56*Krie_B+$L56*EH_Kurs+$M56*Koor_taet+$N56*Sekre_1+$O56*Krie_B+$R56*Krie_B+$P56*Krie_B+$Q56*Krie_B+G56*Krie_B+H56*Krie_B)</f>
        <v>81</v>
      </c>
      <c r="V56" s="308">
        <f t="shared" si="26"/>
        <v>-45</v>
      </c>
      <c r="W56" s="318">
        <f t="shared" si="27"/>
        <v>-66.25</v>
      </c>
    </row>
    <row r="57" ht="12.75" customHeight="1">
      <c r="A57" s="308"/>
      <c r="B57" s="329" t="str">
        <f t="shared" si="24"/>
        <v>Zeller</v>
      </c>
      <c r="C57" s="302">
        <f>SUMPRODUCT((ISNUMBER(SEARCH($Y8,Dienstplan!$B$8:$B$19))*(ISNUMBER(SEARCH($AB$3,Dienstplan!$CP$8:$DS$19)))))-D57</f>
        <v>0</v>
      </c>
      <c r="D57" s="302">
        <f>SUMPRODUCT((ISNUMBER(SEARCH($Y8,Dienstplan!$B$8:$B$19))*(ISNUMBER(SEARCH($AB$4,Dienstplan!$CP$8:$DS$19)))))</f>
        <v>0</v>
      </c>
      <c r="E57" s="302">
        <f>SUMPRODUCT((ISNUMBER(SEARCH($Y8,Dienstplan!$B$8:$B$19))*(ISNUMBER(SEARCH($AB$5,Dienstplan!$CP$8:$DS$19)))))</f>
        <v>4</v>
      </c>
      <c r="F57" s="302">
        <f>SUMPRODUCT((ISNUMBER(SEARCH($Y8,Dienstplan!$B$8:$B$19))*(ISNUMBER(SEARCH($AB$6,Dienstplan!$CP$8:$DS$19)))))</f>
        <v>1</v>
      </c>
      <c r="G57" s="302">
        <f>SUMPRODUCT((ISNUMBER(SEARCH($Y8,Dienstplan!$B$8:$B$19))*(ISNUMBER(SEARCH($AB$7,Dienstplan!$CP$8:$DS$19)))))-H57</f>
        <v>0</v>
      </c>
      <c r="H57" s="302">
        <f>SUMPRODUCT((ISNUMBER(SEARCH($Y8,Dienstplan!$B$8:$B$19))*(ISNUMBER(SEARCH($AB$8,Dienstplan!$CP$8:$DS$19)))))</f>
        <v>0</v>
      </c>
      <c r="I57" s="302">
        <f>SUMPRODUCT((ISNUMBER(SEARCH($Y8,Dienstplan!$B$8:$B$19))*(ISNUMBER(SEARCH($AB$9,Dienstplan!$CP$8:$DS$19)))))</f>
        <v>0</v>
      </c>
      <c r="J57" s="302">
        <f>SUMPRODUCT((ISNUMBER(SEARCH($Y8,Dienstplan!$B$8:$B$19))*(ISNUMBER(SEARCH($AB$10,Dienstplan!$CP$8:$DS$19)))))</f>
        <v>0</v>
      </c>
      <c r="K57" s="302">
        <f>SUMPRODUCT((ISNUMBER(SEARCH($Y8,Dienstplan!$B$8:$B$19))*(ISNUMBER(SEARCH($AB$11,Dienstplan!$CP$8:$DS$19)))))-$Q57</f>
        <v>9</v>
      </c>
      <c r="L57" s="302">
        <f>SUMPRODUCT((ISNUMBER(SEARCH($Y8,Dienstplan!$B$8:$B$19))*(ISNUMBER(SEARCH($AB$12,Dienstplan!$CP$8:$DS$19)))))</f>
        <v>0</v>
      </c>
      <c r="M57" s="302">
        <f>SUMPRODUCT((ISNUMBER(SEARCH($Y8,Dienstplan!$B$8:$B$19))*(ISNUMBER(SEARCH($AB$13,Dienstplan!$CP$8:$DS$19)))))</f>
        <v>0</v>
      </c>
      <c r="N57" s="302">
        <f>SUMPRODUCT((ISNUMBER(SEARCH($Y8,Dienstplan!$B$8:$B$19))*(ISNUMBER(SEARCH($AB$14,Dienstplan!$CP$8:$DS$19)))))</f>
        <v>0</v>
      </c>
      <c r="O57" s="302">
        <f>SUMPRODUCT((ISNUMBER(SEARCH($Y8,Dienstplan!$B$8:$B$19))*(ISNUMBER(SEARCH($AB$15,Dienstplan!$CP$8:$DS$19)))))</f>
        <v>0</v>
      </c>
      <c r="P57" s="302">
        <f>SUMPRODUCT((ISNUMBER(SEARCH($Y8,Dienstplan!$B$8:$B$19))*(ISNUMBER(SEARCH($AB$16,Dienstplan!$CP$8:$DS$19)))))</f>
        <v>0</v>
      </c>
      <c r="Q57" s="302">
        <f>SUMPRODUCT((ISNUMBER(SEARCH($Y8,Dienstplan!$B$8:$B$19))*(ISNUMBER(SEARCH($AB$17,Dienstplan!$CP$8:$DS$19)))))</f>
        <v>0</v>
      </c>
      <c r="R57" s="302">
        <f>SUMPRODUCT((ISNUMBER(SEARCH($Y8,Dienstplan!$B$8:$B$19))*(ISNUMBER(SEARCH($AB$18,Dienstplan!$CP$8:$DS$19)))))</f>
        <v>0</v>
      </c>
      <c r="S57" s="308">
        <f>SUMPRODUCT((ISNUMBER(SEARCH($Y8,Dienstplan!$B$8:$B$19))*(ISNUMBER(SEARCH($AB$19,Dienstplan!$CP$8:$DS$19)))))</f>
        <v>0</v>
      </c>
      <c r="T57" s="302">
        <f t="shared" si="25"/>
        <v>144</v>
      </c>
      <c r="U57" s="330">
        <f>SUM($C57*Frueh_1+$D57*Spaet_1+$E57*Nacht_1+$F57*Normal_1+$I57*Sonderd_1-$J57*Muster+$K57*Muster+$L57*EH_Kurs+$M57*Koor_taet+$N57*Sekre_1+$O57*Muster+$P57*Muster+$Q57*Muster+$R57*Muster+G57*Muster+H57*Muster)</f>
        <v>109.5</v>
      </c>
      <c r="V57" s="308">
        <f t="shared" si="26"/>
        <v>-34.5</v>
      </c>
      <c r="W57" s="318">
        <f t="shared" si="27"/>
        <v>-154.75</v>
      </c>
    </row>
    <row r="58" ht="12.75" customHeight="1">
      <c r="A58" s="308"/>
      <c r="B58" s="329" t="str">
        <f t="shared" si="24"/>
        <v>Behrendt</v>
      </c>
      <c r="C58" s="302">
        <f>SUMPRODUCT((ISNUMBER(SEARCH($Y9,Dienstplan!$B$8:$B$19))*(ISNUMBER(SEARCH($AB$3,Dienstplan!$CP$8:$DS$19)))))-D58</f>
        <v>0</v>
      </c>
      <c r="D58" s="302">
        <f>SUMPRODUCT((ISNUMBER(SEARCH($Y9,Dienstplan!$B$8:$B$19))*(ISNUMBER(SEARCH($AB$4,Dienstplan!$CP$8:$DS$19)))))</f>
        <v>0</v>
      </c>
      <c r="E58" s="302">
        <f>SUMPRODUCT((ISNUMBER(SEARCH($Y9,Dienstplan!$B$8:$B$19))*(ISNUMBER(SEARCH($AB$5,Dienstplan!$CP$8:$DS$19)))))</f>
        <v>5</v>
      </c>
      <c r="F58" s="302">
        <f>SUMPRODUCT((ISNUMBER(SEARCH($Y9,Dienstplan!$B$8:$B$19))*(ISNUMBER(SEARCH($AB$6,Dienstplan!$CP$8:$DS$19)))))</f>
        <v>5</v>
      </c>
      <c r="G58" s="302">
        <f>SUMPRODUCT((ISNUMBER(SEARCH($Y9,Dienstplan!$B$8:$B$19))*(ISNUMBER(SEARCH($AB$7,Dienstplan!$CP$8:$DS$19)))))-H58</f>
        <v>0</v>
      </c>
      <c r="H58" s="302">
        <f>SUMPRODUCT((ISNUMBER(SEARCH($Y9,Dienstplan!$B$8:$B$19))*(ISNUMBER(SEARCH($AB$8,Dienstplan!$CP$8:$DS$19)))))</f>
        <v>0</v>
      </c>
      <c r="I58" s="302">
        <f>SUMPRODUCT((ISNUMBER(SEARCH($Y9,Dienstplan!$B$8:$B$19))*(ISNUMBER(SEARCH($AB$9,Dienstplan!$CP$8:$DS$19)))))</f>
        <v>0</v>
      </c>
      <c r="J58" s="302">
        <f>SUMPRODUCT((ISNUMBER(SEARCH($Y9,Dienstplan!$B$8:$B$19))*(ISNUMBER(SEARCH($AB$10,Dienstplan!$CP$8:$DS$19)))))</f>
        <v>0</v>
      </c>
      <c r="K58" s="302">
        <f>SUMPRODUCT((ISNUMBER(SEARCH($Y9,Dienstplan!$B$8:$B$19))*(ISNUMBER(SEARCH($AB$11,Dienstplan!$CP$8:$DS$19)))))-$Q58</f>
        <v>0</v>
      </c>
      <c r="L58" s="302">
        <f>SUMPRODUCT((ISNUMBER(SEARCH($Y9,Dienstplan!$B$8:$B$19))*(ISNUMBER(SEARCH($AB$12,Dienstplan!$CP$8:$DS$19)))))</f>
        <v>0</v>
      </c>
      <c r="M58" s="302">
        <f>SUMPRODUCT((ISNUMBER(SEARCH($Y9,Dienstplan!$B$8:$B$19))*(ISNUMBER(SEARCH($AB$13,Dienstplan!$CP$8:$DS$19)))))</f>
        <v>0</v>
      </c>
      <c r="N58" s="302">
        <f>SUMPRODUCT((ISNUMBER(SEARCH($Y9,Dienstplan!$B$8:$B$19))*(ISNUMBER(SEARCH($AB$14,Dienstplan!$CP$8:$DS$19)))))</f>
        <v>0</v>
      </c>
      <c r="O58" s="302">
        <f>SUMPRODUCT((ISNUMBER(SEARCH($Y9,Dienstplan!$B$8:$B$19))*(ISNUMBER(SEARCH($AB$15,Dienstplan!$CP$8:$DS$19)))))</f>
        <v>0</v>
      </c>
      <c r="P58" s="302">
        <f>SUMPRODUCT((ISNUMBER(SEARCH($Y9,Dienstplan!$B$8:$B$19))*(ISNUMBER(SEARCH($AB$16,Dienstplan!$CP$8:$DS$19)))))</f>
        <v>0</v>
      </c>
      <c r="Q58" s="302">
        <f>SUMPRODUCT((ISNUMBER(SEARCH($Y9,Dienstplan!$B$8:$B$19))*(ISNUMBER(SEARCH($AB$17,Dienstplan!$CP$8:$DS$19)))))</f>
        <v>0</v>
      </c>
      <c r="R58" s="302">
        <f>SUMPRODUCT((ISNUMBER(SEARCH($Y9,Dienstplan!$B$8:$B$19))*(ISNUMBER(SEARCH($AB$18,Dienstplan!$CP$8:$DS$19)))))</f>
        <v>0</v>
      </c>
      <c r="S58" s="308">
        <f>SUMPRODUCT((ISNUMBER(SEARCH($Y9,Dienstplan!$B$8:$B$19))*(ISNUMBER(SEARCH($AB$19,Dienstplan!$CP$8:$DS$19)))))</f>
        <v>1</v>
      </c>
      <c r="T58" s="302">
        <f t="shared" si="25"/>
        <v>126</v>
      </c>
      <c r="U58" s="330">
        <f>SUM($C58*Frueh_1+$D58*Spaet_1+$E58*Nacht_1+$F58*Normal_1+$I58*Sonderd_1-$J58*Muster+$K58*Muster+$L58*EH_Kurs+$M58*Koor_taet+$N58*Sekre_1+$O58*Muster+$P58*Muster+$Q58*Muster+$R58*Muster+G58*Muster+H58*Muster)</f>
        <v>75</v>
      </c>
      <c r="V58" s="308">
        <f t="shared" si="26"/>
        <v>-51</v>
      </c>
      <c r="W58" s="318">
        <f t="shared" si="27"/>
        <v>-171.95</v>
      </c>
    </row>
    <row r="59" ht="12.75" customHeight="1">
      <c r="A59" s="308"/>
      <c r="B59" s="329" t="str">
        <f t="shared" si="24"/>
        <v>Krempl</v>
      </c>
      <c r="C59" s="302">
        <f>SUMPRODUCT((ISNUMBER(SEARCH($Y10,Dienstplan!$B$8:$B$19))*(ISNUMBER(SEARCH($AB$3,Dienstplan!$CP$8:$DS$19)))))-D59</f>
        <v>0</v>
      </c>
      <c r="D59" s="302">
        <f>SUMPRODUCT((ISNUMBER(SEARCH($Y10,Dienstplan!$B$8:$B$19))*(ISNUMBER(SEARCH($AB$4,Dienstplan!$CP$8:$DS$19)))))</f>
        <v>0</v>
      </c>
      <c r="E59" s="302">
        <f>SUMPRODUCT((ISNUMBER(SEARCH($Y10,Dienstplan!$B$8:$B$19))*(ISNUMBER(SEARCH($AB$5,Dienstplan!$CP$8:$DS$19)))))</f>
        <v>0</v>
      </c>
      <c r="F59" s="302">
        <f>SUMPRODUCT((ISNUMBER(SEARCH($Y10,Dienstplan!$B$8:$B$19))*(ISNUMBER(SEARCH($AB$6,Dienstplan!$CP$8:$DS$19)))))</f>
        <v>0</v>
      </c>
      <c r="G59" s="302">
        <f>SUMPRODUCT((ISNUMBER(SEARCH($Y10,Dienstplan!$B$8:$B$19))*(ISNUMBER(SEARCH($AB$7,Dienstplan!$CP$8:$DS$19)))))-H59</f>
        <v>0</v>
      </c>
      <c r="H59" s="302">
        <f>SUMPRODUCT((ISNUMBER(SEARCH($Y10,Dienstplan!$B$8:$B$19))*(ISNUMBER(SEARCH($AB$8,Dienstplan!$CP$8:$DS$19)))))</f>
        <v>0</v>
      </c>
      <c r="I59" s="302">
        <f>SUMPRODUCT((ISNUMBER(SEARCH($Y10,Dienstplan!$B$8:$B$19))*(ISNUMBER(SEARCH($AB$9,Dienstplan!$CP$8:$DS$19)))))</f>
        <v>0</v>
      </c>
      <c r="J59" s="302">
        <f>SUMPRODUCT((ISNUMBER(SEARCH($Y10,Dienstplan!$B$8:$B$19))*(ISNUMBER(SEARCH($AB$10,Dienstplan!$CP$8:$DS$19)))))</f>
        <v>1</v>
      </c>
      <c r="K59" s="302">
        <f>SUMPRODUCT((ISNUMBER(SEARCH($Y10,Dienstplan!$B$8:$B$19))*(ISNUMBER(SEARCH($AB$11,Dienstplan!$CP$8:$DS$19)))))-$Q59</f>
        <v>4</v>
      </c>
      <c r="L59" s="302">
        <f>SUMPRODUCT((ISNUMBER(SEARCH($Y10,Dienstplan!$B$8:$B$19))*(ISNUMBER(SEARCH($AB$12,Dienstplan!$CP$8:$DS$19)))))</f>
        <v>0</v>
      </c>
      <c r="M59" s="302">
        <f>SUMPRODUCT((ISNUMBER(SEARCH($Y10,Dienstplan!$B$8:$B$19))*(ISNUMBER(SEARCH($AB$13,Dienstplan!$CP$8:$DS$19)))))</f>
        <v>0</v>
      </c>
      <c r="N59" s="302">
        <f>SUMPRODUCT((ISNUMBER(SEARCH($Y10,Dienstplan!$B$8:$B$19))*(ISNUMBER(SEARCH($AB$14,Dienstplan!$CP$8:$DS$19)))))</f>
        <v>0</v>
      </c>
      <c r="O59" s="302">
        <f>SUMPRODUCT((ISNUMBER(SEARCH($Y10,Dienstplan!$B$8:$B$19))*(ISNUMBER(SEARCH($AB$15,Dienstplan!$CP$8:$DS$19)))))</f>
        <v>0</v>
      </c>
      <c r="P59" s="302">
        <f>SUMPRODUCT((ISNUMBER(SEARCH($Y10,Dienstplan!$B$8:$B$19))*(ISNUMBER(SEARCH($AB$16,Dienstplan!$CP$8:$DS$19)))))</f>
        <v>0</v>
      </c>
      <c r="Q59" s="302">
        <f>SUMPRODUCT((ISNUMBER(SEARCH($Y10,Dienstplan!$B$8:$B$19))*(ISNUMBER(SEARCH($AB$17,Dienstplan!$CP$8:$DS$19)))))</f>
        <v>0</v>
      </c>
      <c r="R59" s="302">
        <f>SUMPRODUCT((ISNUMBER(SEARCH($Y10,Dienstplan!$B$8:$B$19))*(ISNUMBER(SEARCH($AB$18,Dienstplan!$CP$8:$DS$19)))))</f>
        <v>0</v>
      </c>
      <c r="S59" s="308">
        <f>SUMPRODUCT((ISNUMBER(SEARCH($Y10,Dienstplan!$B$8:$B$19))*(ISNUMBER(SEARCH($AB$19,Dienstplan!$CP$8:$DS$19)))))</f>
        <v>0</v>
      </c>
      <c r="T59" s="302">
        <f t="shared" si="25"/>
        <v>57.6</v>
      </c>
      <c r="U59" s="330">
        <f>SUM($C59*Frueh_1+$D59*Spaet_1+$E59*Nacht_1+$F59*Normal_1+$I59*Sonderd_1-$J59*Krem_E+$K59*Krem_E+$L59*EH_Kurs+$M59*Koor_taet+$N59*Sekre_1+$O59*Krem_E+$R59*Krem_E+$P59*Krem_E+$Q59*Krem_E+G59*Krem_E+H59*Krem_E)</f>
        <v>9.6</v>
      </c>
      <c r="V59" s="308">
        <f t="shared" si="26"/>
        <v>-48</v>
      </c>
      <c r="W59" s="318">
        <f t="shared" si="27"/>
        <v>-195.1</v>
      </c>
    </row>
    <row r="60" ht="12.75" customHeight="1">
      <c r="A60" s="308"/>
      <c r="B60" s="329" t="str">
        <f t="shared" si="24"/>
        <v>Putschler</v>
      </c>
      <c r="C60" s="302">
        <f>SUMPRODUCT((ISNUMBER(SEARCH($Y11,Dienstplan!$B$8:$B$19))*(ISNUMBER(SEARCH($AB$3,Dienstplan!$CP$8:$DS$19)))))-D60</f>
        <v>0</v>
      </c>
      <c r="D60" s="302">
        <f>SUMPRODUCT((ISNUMBER(SEARCH($Y11,Dienstplan!$B$8:$B$19))*(ISNUMBER(SEARCH($AB$4,Dienstplan!$CP$8:$DS$19)))))</f>
        <v>0</v>
      </c>
      <c r="E60" s="302">
        <f>SUMPRODUCT((ISNUMBER(SEARCH($Y11,Dienstplan!$B$8:$B$19))*(ISNUMBER(SEARCH($AB$5,Dienstplan!$CP$8:$DS$19)))))</f>
        <v>0</v>
      </c>
      <c r="F60" s="302">
        <f>SUMPRODUCT((ISNUMBER(SEARCH($Y11,Dienstplan!$B$8:$B$19))*(ISNUMBER(SEARCH($AB$6,Dienstplan!$CP$8:$DS$19)))))</f>
        <v>0</v>
      </c>
      <c r="G60" s="302">
        <f>SUMPRODUCT((ISNUMBER(SEARCH($Y11,Dienstplan!$B$8:$B$19))*(ISNUMBER(SEARCH($AB$7,Dienstplan!$CP$8:$DS$19)))))-H60</f>
        <v>0</v>
      </c>
      <c r="H60" s="302">
        <f>SUMPRODUCT((ISNUMBER(SEARCH($Y11,Dienstplan!$B$8:$B$19))*(ISNUMBER(SEARCH($AB$8,Dienstplan!$CP$8:$DS$19)))))</f>
        <v>0</v>
      </c>
      <c r="I60" s="302">
        <f>SUMPRODUCT((ISNUMBER(SEARCH($Y11,Dienstplan!$B$8:$B$19))*(ISNUMBER(SEARCH($AB$9,Dienstplan!$CP$8:$DS$19)))))</f>
        <v>0</v>
      </c>
      <c r="J60" s="302">
        <f>SUMPRODUCT((ISNUMBER(SEARCH($Y11,Dienstplan!$B$8:$B$19))*(ISNUMBER(SEARCH($AB$10,Dienstplan!$CP$8:$DS$19)))))</f>
        <v>1</v>
      </c>
      <c r="K60" s="302">
        <f>SUMPRODUCT((ISNUMBER(SEARCH($Y11,Dienstplan!$B$8:$B$19))*(ISNUMBER(SEARCH($AB$11,Dienstplan!$CP$8:$DS$19)))))-$Q60</f>
        <v>2</v>
      </c>
      <c r="L60" s="302">
        <f>SUMPRODUCT((ISNUMBER(SEARCH($Y11,Dienstplan!$B$8:$B$19))*(ISNUMBER(SEARCH($AB$12,Dienstplan!$CP$8:$DS$19)))))</f>
        <v>0</v>
      </c>
      <c r="M60" s="302">
        <f>SUMPRODUCT((ISNUMBER(SEARCH($Y11,Dienstplan!$B$8:$B$19))*(ISNUMBER(SEARCH($AB$13,Dienstplan!$CP$8:$DS$19)))))</f>
        <v>0</v>
      </c>
      <c r="N60" s="302">
        <f>SUMPRODUCT((ISNUMBER(SEARCH($Y11,Dienstplan!$B$8:$B$19))*(ISNUMBER(SEARCH($AB$14,Dienstplan!$CP$8:$DS$19)))))</f>
        <v>0</v>
      </c>
      <c r="O60" s="302">
        <f>SUMPRODUCT((ISNUMBER(SEARCH($Y11,Dienstplan!$B$8:$B$19))*(ISNUMBER(SEARCH($AB$15,Dienstplan!$CP$8:$DS$19)))))</f>
        <v>3</v>
      </c>
      <c r="P60" s="302">
        <f>SUMPRODUCT((ISNUMBER(SEARCH($Y11,Dienstplan!$B$8:$B$19))*(ISNUMBER(SEARCH($AB$16,Dienstplan!$CP$8:$DS$19)))))</f>
        <v>0</v>
      </c>
      <c r="Q60" s="302">
        <f>SUMPRODUCT((ISNUMBER(SEARCH($Y11,Dienstplan!$B$8:$B$19))*(ISNUMBER(SEARCH($AB$17,Dienstplan!$CP$8:$DS$19)))))</f>
        <v>0</v>
      </c>
      <c r="R60" s="302">
        <f>SUMPRODUCT((ISNUMBER(SEARCH($Y11,Dienstplan!$B$8:$B$19))*(ISNUMBER(SEARCH($AB$18,Dienstplan!$CP$8:$DS$19)))))</f>
        <v>0</v>
      </c>
      <c r="S60" s="308">
        <f>SUMPRODUCT((ISNUMBER(SEARCH($Y11,Dienstplan!$B$8:$B$19))*(ISNUMBER(SEARCH($AB$19,Dienstplan!$CP$8:$DS$19)))))</f>
        <v>0</v>
      </c>
      <c r="T60" s="302">
        <f t="shared" si="25"/>
        <v>144</v>
      </c>
      <c r="U60" s="330">
        <f>SUM($C60*Frueh_1+$D60*Spaet_1+$E60*Nacht_1+$F60*Normal_1+$I60*Sonderd_1-$J60*Put_W+$K60*Put_W+$L60*EH_Kurs+$M60*Koor_taet+$N60*Sekre_1+$O60*Put_W+$R60*Put_W+$P60*Put_W+$Q60*Put_W+G60*Put_W+H60*Put_W)</f>
        <v>32</v>
      </c>
      <c r="V60" s="308">
        <f t="shared" si="26"/>
        <v>-112</v>
      </c>
      <c r="W60" s="318">
        <f t="shared" si="27"/>
        <v>-248</v>
      </c>
    </row>
    <row r="61" ht="12.75" customHeight="1">
      <c r="A61" s="308"/>
      <c r="B61" s="329" t="str">
        <f t="shared" si="24"/>
        <v>Schmidt</v>
      </c>
      <c r="C61" s="302">
        <f>SUMPRODUCT((ISNUMBER(SEARCH($Y12,Dienstplan!$B$8:$B$19))*(ISNUMBER(SEARCH($AB$3,Dienstplan!$CP$8:$DS$19)))))-D61</f>
        <v>0</v>
      </c>
      <c r="D61" s="302">
        <f>SUMPRODUCT((ISNUMBER(SEARCH($Y12,Dienstplan!$B$8:$B$19))*(ISNUMBER(SEARCH($AB$4,Dienstplan!$CP$8:$DS$19)))))</f>
        <v>0</v>
      </c>
      <c r="E61" s="302">
        <f>SUMPRODUCT((ISNUMBER(SEARCH($Y12,Dienstplan!$B$8:$B$19))*(ISNUMBER(SEARCH($AB$5,Dienstplan!$CP$8:$DS$19)))))</f>
        <v>0</v>
      </c>
      <c r="F61" s="302">
        <f>SUMPRODUCT((ISNUMBER(SEARCH($Y12,Dienstplan!$B$8:$B$19))*(ISNUMBER(SEARCH($AB$6,Dienstplan!$CP$8:$DS$19)))))</f>
        <v>0</v>
      </c>
      <c r="G61" s="302">
        <f>SUMPRODUCT((ISNUMBER(SEARCH($Y12,Dienstplan!$B$8:$B$19))*(ISNUMBER(SEARCH($AB$7,Dienstplan!$CP$8:$DS$19)))))-H61</f>
        <v>0</v>
      </c>
      <c r="H61" s="302">
        <f>SUMPRODUCT((ISNUMBER(SEARCH($Y12,Dienstplan!$B$8:$B$19))*(ISNUMBER(SEARCH($AB$8,Dienstplan!$CP$8:$DS$19)))))</f>
        <v>0</v>
      </c>
      <c r="I61" s="302">
        <f>SUMPRODUCT((ISNUMBER(SEARCH($Y12,Dienstplan!$B$8:$B$19))*(ISNUMBER(SEARCH($AB$9,Dienstplan!$CP$8:$DS$19)))))</f>
        <v>0</v>
      </c>
      <c r="J61" s="302">
        <f>SUMPRODUCT((ISNUMBER(SEARCH($Y12,Dienstplan!$B$8:$B$19))*(ISNUMBER(SEARCH($AB$10,Dienstplan!$CP$8:$DS$19)))))</f>
        <v>0</v>
      </c>
      <c r="K61" s="302">
        <f>SUMPRODUCT((ISNUMBER(SEARCH($Y12,Dienstplan!$B$8:$B$19))*(ISNUMBER(SEARCH($AB$11,Dienstplan!$CP$8:$DS$19)))))-$Q61</f>
        <v>0</v>
      </c>
      <c r="L61" s="302">
        <f>SUMPRODUCT((ISNUMBER(SEARCH($Y12,Dienstplan!$B$8:$B$19))*(ISNUMBER(SEARCH($AB$12,Dienstplan!$CP$8:$DS$19)))))</f>
        <v>0</v>
      </c>
      <c r="M61" s="302">
        <f>SUMPRODUCT((ISNUMBER(SEARCH($Y12,Dienstplan!$B$8:$B$19))*(ISNUMBER(SEARCH($AB$13,Dienstplan!$CP$8:$DS$19)))))</f>
        <v>0</v>
      </c>
      <c r="N61" s="302">
        <f>SUMPRODUCT((ISNUMBER(SEARCH($Y12,Dienstplan!$B$8:$B$19))*(ISNUMBER(SEARCH($AB$14,Dienstplan!$CP$8:$DS$19)))))</f>
        <v>0</v>
      </c>
      <c r="O61" s="302">
        <f>SUMPRODUCT((ISNUMBER(SEARCH($Y12,Dienstplan!$B$8:$B$19))*(ISNUMBER(SEARCH($AB$15,Dienstplan!$CP$8:$DS$19)))))</f>
        <v>0</v>
      </c>
      <c r="P61" s="302">
        <f>SUMPRODUCT((ISNUMBER(SEARCH($Y12,Dienstplan!$B$8:$B$19))*(ISNUMBER(SEARCH($AB$16,Dienstplan!$CP$8:$DS$19)))))</f>
        <v>0</v>
      </c>
      <c r="Q61" s="302">
        <f>SUMPRODUCT((ISNUMBER(SEARCH($Y12,Dienstplan!$B$8:$B$19))*(ISNUMBER(SEARCH($AB$17,Dienstplan!$CP$8:$DS$19)))))</f>
        <v>0</v>
      </c>
      <c r="R61" s="302">
        <f>SUMPRODUCT((ISNUMBER(SEARCH($Y12,Dienstplan!$B$8:$B$19))*(ISNUMBER(SEARCH($AB$18,Dienstplan!$CP$8:$DS$19)))))</f>
        <v>0</v>
      </c>
      <c r="S61" s="308">
        <f>SUMPRODUCT((ISNUMBER(SEARCH($Y12,Dienstplan!$B$8:$B$19))*(ISNUMBER(SEARCH($AB$19,Dienstplan!$CP$8:$DS$19)))))</f>
        <v>0</v>
      </c>
      <c r="T61" s="302">
        <f t="shared" si="25"/>
        <v>126</v>
      </c>
      <c r="U61" s="330">
        <f>SUM($C61*Frueh_1+$D61*Spaet_1+$E61*Nacht_1+$F61*Normal_1+$I61*Sonderd_1-$J61*Radi_L+$K61*Radi_L+$L61*EH_Kurs+$M61*Koor_taet+$N61*Sekre_1+$O61*Radi_L+$R61*Radi_L+$P61*Radi_L+$Q61*Radi_L+G61*Radi_L+H61*Radi_L)</f>
        <v>0</v>
      </c>
      <c r="V61" s="308">
        <f t="shared" si="26"/>
        <v>-126</v>
      </c>
      <c r="W61" s="318">
        <f t="shared" si="27"/>
        <v>-560</v>
      </c>
    </row>
    <row r="62" ht="12.75" customHeight="1">
      <c r="A62" s="308"/>
      <c r="B62" s="329" t="str">
        <f t="shared" si="24"/>
        <v>Radimersky</v>
      </c>
      <c r="C62" s="302">
        <f>SUMPRODUCT((ISNUMBER(SEARCH($Y13,Dienstplan!$B$8:$B$19))*(ISNUMBER(SEARCH($AB$3,Dienstplan!$CP$8:$DS$19)))))-D62</f>
        <v>0</v>
      </c>
      <c r="D62" s="302">
        <f>SUMPRODUCT((ISNUMBER(SEARCH($Y13,Dienstplan!$B$8:$B$19))*(ISNUMBER(SEARCH($AB$4,Dienstplan!$CP$8:$DS$19)))))</f>
        <v>0</v>
      </c>
      <c r="E62" s="302">
        <f>SUMPRODUCT((ISNUMBER(SEARCH($Y13,Dienstplan!$B$8:$B$19))*(ISNUMBER(SEARCH($AB$5,Dienstplan!$CP$8:$DS$19)))))</f>
        <v>0</v>
      </c>
      <c r="F62" s="302">
        <f>SUMPRODUCT((ISNUMBER(SEARCH($Y13,Dienstplan!$B$8:$B$19))*(ISNUMBER(SEARCH($AB$6,Dienstplan!$CP$8:$DS$19)))))</f>
        <v>0</v>
      </c>
      <c r="G62" s="302">
        <f>SUMPRODUCT((ISNUMBER(SEARCH($Y13,Dienstplan!$B$8:$B$19))*(ISNUMBER(SEARCH($AB$7,Dienstplan!$CP$8:$DS$19)))))-H62</f>
        <v>0</v>
      </c>
      <c r="H62" s="302">
        <f>SUMPRODUCT((ISNUMBER(SEARCH($Y13,Dienstplan!$B$8:$B$19))*(ISNUMBER(SEARCH($AB$8,Dienstplan!$CP$8:$DS$19)))))</f>
        <v>0</v>
      </c>
      <c r="I62" s="302">
        <f>SUMPRODUCT((ISNUMBER(SEARCH($Y13,Dienstplan!$B$8:$B$19))*(ISNUMBER(SEARCH($AB$9,Dienstplan!$CP$8:$DS$19)))))</f>
        <v>0</v>
      </c>
      <c r="J62" s="302">
        <f>SUMPRODUCT((ISNUMBER(SEARCH($Y13,Dienstplan!$B$8:$B$19))*(ISNUMBER(SEARCH($AB$10,Dienstplan!$CP$8:$DS$19)))))</f>
        <v>0</v>
      </c>
      <c r="K62" s="302">
        <f>SUMPRODUCT((ISNUMBER(SEARCH($Y13,Dienstplan!$B$8:$B$19))*(ISNUMBER(SEARCH($AB$11,Dienstplan!$CP$8:$DS$19)))))-$Q62</f>
        <v>5</v>
      </c>
      <c r="L62" s="302">
        <f>SUMPRODUCT((ISNUMBER(SEARCH($Y13,Dienstplan!$B$8:$B$19))*(ISNUMBER(SEARCH($AB$12,Dienstplan!$CP$8:$DS$19)))))</f>
        <v>0</v>
      </c>
      <c r="M62" s="302">
        <f>SUMPRODUCT((ISNUMBER(SEARCH($Y13,Dienstplan!$B$8:$B$19))*(ISNUMBER(SEARCH($AB$13,Dienstplan!$CP$8:$DS$19)))))</f>
        <v>0</v>
      </c>
      <c r="N62" s="302">
        <f>SUMPRODUCT((ISNUMBER(SEARCH($Y13,Dienstplan!$B$8:$B$19))*(ISNUMBER(SEARCH($AB$14,Dienstplan!$CP$8:$DS$19)))))</f>
        <v>0</v>
      </c>
      <c r="O62" s="302">
        <f>SUMPRODUCT((ISNUMBER(SEARCH($Y13,Dienstplan!$B$8:$B$19))*(ISNUMBER(SEARCH($AB$15,Dienstplan!$CP$8:$DS$19)))))</f>
        <v>0</v>
      </c>
      <c r="P62" s="302">
        <f>SUMPRODUCT((ISNUMBER(SEARCH($Y13,Dienstplan!$B$8:$B$19))*(ISNUMBER(SEARCH($AB$16,Dienstplan!$CP$8:$DS$19)))))</f>
        <v>0</v>
      </c>
      <c r="Q62" s="302">
        <f>SUMPRODUCT((ISNUMBER(SEARCH($Y13,Dienstplan!$B$8:$B$19))*(ISNUMBER(SEARCH($AB$17,Dienstplan!$CP$8:$DS$19)))))</f>
        <v>0</v>
      </c>
      <c r="R62" s="302">
        <f>SUMPRODUCT((ISNUMBER(SEARCH($Y13,Dienstplan!$B$8:$B$19))*(ISNUMBER(SEARCH($AB$18,Dienstplan!$CP$8:$DS$19)))))</f>
        <v>0</v>
      </c>
      <c r="S62" s="308">
        <f>SUMPRODUCT((ISNUMBER(SEARCH($Y13,Dienstplan!$B$8:$B$19))*(ISNUMBER(SEARCH($AB$19,Dienstplan!$CP$8:$DS$19)))))</f>
        <v>0</v>
      </c>
      <c r="T62" s="302">
        <f t="shared" si="25"/>
        <v>54</v>
      </c>
      <c r="U62" s="330">
        <f>SUM($C62*Frueh_1+$D62*Spaet_1+$E62*Nacht_1+$F62*Normal_1+$I62*Sonderd_1-$J62*Fortenb+$K62*Fortenb+$L62*EH_Kurs+$M62*Koor_taet+$N62*Sekre_1+$O62*Fortenb+$R62*Fortenb+$P62*Fortenb+$Q62*Fortenb+G62*Fortenb+H62*Fortenb)</f>
        <v>15</v>
      </c>
      <c r="V62" s="308">
        <f t="shared" si="26"/>
        <v>-39</v>
      </c>
      <c r="W62" s="318">
        <f t="shared" si="27"/>
        <v>-222</v>
      </c>
    </row>
    <row r="63" ht="12.75" customHeight="1">
      <c r="A63" s="308"/>
      <c r="B63" s="329"/>
      <c r="S63" s="308"/>
      <c r="V63" s="308"/>
      <c r="W63" s="318"/>
    </row>
    <row r="64" ht="12.75" customHeight="1">
      <c r="A64" s="308"/>
      <c r="B64" s="329" t="s">
        <v>134</v>
      </c>
      <c r="C64" s="303">
        <f t="shared" ref="C64:S64" si="28">SUM(C52:C63)</f>
        <v>5</v>
      </c>
      <c r="D64" s="303">
        <f t="shared" si="28"/>
        <v>0</v>
      </c>
      <c r="E64" s="303">
        <f t="shared" si="28"/>
        <v>20</v>
      </c>
      <c r="F64" s="303">
        <f t="shared" si="28"/>
        <v>19</v>
      </c>
      <c r="G64" s="303">
        <f t="shared" si="28"/>
        <v>0</v>
      </c>
      <c r="H64" s="303">
        <f t="shared" si="28"/>
        <v>0</v>
      </c>
      <c r="I64" s="303">
        <f t="shared" si="28"/>
        <v>0</v>
      </c>
      <c r="J64" s="303">
        <f t="shared" si="28"/>
        <v>3</v>
      </c>
      <c r="K64" s="303">
        <f t="shared" si="28"/>
        <v>31</v>
      </c>
      <c r="L64" s="303">
        <f t="shared" si="28"/>
        <v>2</v>
      </c>
      <c r="M64" s="303">
        <f t="shared" si="28"/>
        <v>0</v>
      </c>
      <c r="N64" s="303">
        <f t="shared" si="28"/>
        <v>0</v>
      </c>
      <c r="O64" s="303">
        <f t="shared" si="28"/>
        <v>6</v>
      </c>
      <c r="P64" s="303">
        <f t="shared" si="28"/>
        <v>0</v>
      </c>
      <c r="Q64" s="303">
        <f t="shared" si="28"/>
        <v>0</v>
      </c>
      <c r="R64" s="303">
        <f t="shared" si="28"/>
        <v>0</v>
      </c>
      <c r="S64" s="323">
        <f t="shared" si="28"/>
        <v>3</v>
      </c>
      <c r="T64" s="303">
        <f t="shared" ref="T64:U64" si="29">SUM(T52:T60)</f>
        <v>1137.6</v>
      </c>
      <c r="U64" s="303">
        <f t="shared" si="29"/>
        <v>551.35</v>
      </c>
      <c r="V64" s="323"/>
      <c r="W64" s="324"/>
    </row>
    <row r="65" ht="12.75" customHeight="1">
      <c r="A65" s="308"/>
      <c r="B65" s="309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9"/>
      <c r="T65" s="300"/>
      <c r="U65" s="300"/>
      <c r="V65" s="309"/>
      <c r="W65" s="310"/>
    </row>
    <row r="66" ht="12.75" customHeight="1">
      <c r="A66" s="308"/>
      <c r="B66" s="312" t="s">
        <v>5</v>
      </c>
      <c r="D66" s="313" t="s">
        <v>136</v>
      </c>
      <c r="E66" s="314"/>
      <c r="F66" s="315">
        <v>20.0</v>
      </c>
      <c r="G66" s="316"/>
      <c r="H66" s="317"/>
      <c r="I66" s="313" t="s">
        <v>137</v>
      </c>
      <c r="J66" s="314"/>
      <c r="K66" s="315">
        <v>4.0</v>
      </c>
      <c r="S66" s="308"/>
      <c r="V66" s="308"/>
      <c r="W66" s="318"/>
    </row>
    <row r="67" ht="12.75" customHeight="1">
      <c r="A67" s="308"/>
      <c r="B67" s="308"/>
      <c r="C67" s="303" t="str">
        <f>Jahr!C3</f>
        <v>FI</v>
      </c>
      <c r="D67" s="303" t="str">
        <f>Jahr!D3</f>
        <v>FII</v>
      </c>
      <c r="E67" s="303" t="str">
        <f>Jahr!E3</f>
        <v>SI</v>
      </c>
      <c r="F67" s="303" t="str">
        <f>Jahr!F3</f>
        <v>NI</v>
      </c>
      <c r="G67" s="303" t="str">
        <f>Jahr!G3</f>
        <v>DI</v>
      </c>
      <c r="H67" s="303" t="str">
        <f>Jahr!H3</f>
        <v>DII</v>
      </c>
      <c r="I67" s="303" t="str">
        <f>Jahr!I3</f>
        <v>SD</v>
      </c>
      <c r="J67" s="303" t="str">
        <f>Jahr!J3</f>
        <v>GT</v>
      </c>
      <c r="K67" s="303" t="str">
        <f>Jahr!K3</f>
        <v>U</v>
      </c>
      <c r="L67" s="303" t="str">
        <f>Jahr!L3</f>
        <v>EH</v>
      </c>
      <c r="M67" s="303" t="str">
        <f>Jahr!M3</f>
        <v>KT</v>
      </c>
      <c r="N67" s="303" t="str">
        <f>Jahr!N3</f>
        <v>Sek</v>
      </c>
      <c r="O67" s="303" t="str">
        <f>Jahr!O3</f>
        <v>Fobi</v>
      </c>
      <c r="P67" s="303" t="str">
        <f>Jahr!P3</f>
        <v>A</v>
      </c>
      <c r="Q67" s="303" t="str">
        <f>Jahr!Q3</f>
        <v>Kur</v>
      </c>
      <c r="R67" s="303" t="str">
        <f>Jahr!R3</f>
        <v>FZC</v>
      </c>
      <c r="S67" s="303" t="str">
        <f>Jahr!S3</f>
        <v>NST</v>
      </c>
      <c r="T67" s="303" t="s">
        <v>144</v>
      </c>
      <c r="U67" s="303" t="s">
        <v>145</v>
      </c>
      <c r="V67" s="323" t="s">
        <v>146</v>
      </c>
      <c r="W67" s="324" t="s">
        <v>147</v>
      </c>
    </row>
    <row r="68" ht="12.75" customHeight="1">
      <c r="A68" s="308"/>
      <c r="B68" s="329" t="str">
        <f t="shared" ref="B68:B78" si="30">B4</f>
        <v>Breig</v>
      </c>
      <c r="C68" s="302">
        <f>SUMPRODUCT((ISNUMBER(SEARCH($Y3,Dienstplan!$B$8:$B$19))*(ISNUMBER(SEARCH($AB$3,Dienstplan!$DT$8:$EX$19)))))-D68</f>
        <v>0</v>
      </c>
      <c r="D68" s="302">
        <f>SUMPRODUCT((ISNUMBER(SEARCH($Y3,Dienstplan!$B$8:$B$19))*(ISNUMBER(SEARCH($AB$4,Dienstplan!$DT$8:$EX$19)))))</f>
        <v>0</v>
      </c>
      <c r="E68" s="302">
        <f>SUMPRODUCT((ISNUMBER(SEARCH($Y3,Dienstplan!$B$8:$B$19))*(ISNUMBER(SEARCH($AB$5,Dienstplan!$DT$8:$EX$19)))))</f>
        <v>0</v>
      </c>
      <c r="F68" s="302">
        <f>SUMPRODUCT((ISNUMBER(SEARCH($Y3,Dienstplan!$B$8:$B$19))*(ISNUMBER(SEARCH($AB$6,Dienstplan!$DT$8:$EX$19)))))</f>
        <v>5</v>
      </c>
      <c r="G68" s="302">
        <f>SUMPRODUCT((ISNUMBER(SEARCH($Y3,Dienstplan!$B$8:$B$19))*(ISNUMBER(SEARCH($AB$7,Dienstplan!$DT$8:$EX$19)))))-H68</f>
        <v>0</v>
      </c>
      <c r="H68" s="302">
        <f>SUMPRODUCT((ISNUMBER(SEARCH($Y3,Dienstplan!$B$8:$B$19))*(ISNUMBER(SEARCH($AB$8,Dienstplan!$DT$8:$EX$19)))))</f>
        <v>0</v>
      </c>
      <c r="I68" s="302">
        <f>SUMPRODUCT((ISNUMBER(SEARCH($Y3,Dienstplan!$B$8:$B$19))*(ISNUMBER(SEARCH($AB$9,Dienstplan!$DT$8:$EX$19)))))</f>
        <v>0</v>
      </c>
      <c r="J68" s="302">
        <f>SUMPRODUCT((ISNUMBER(SEARCH($Y3,Dienstplan!$B$8:$B$19))*(ISNUMBER(SEARCH($AB$10,Dienstplan!$DT$8:$EX$19)))))</f>
        <v>0</v>
      </c>
      <c r="K68" s="302">
        <f>SUMPRODUCT((ISNUMBER(SEARCH($Y3,Dienstplan!$B$8:$B$19))*(ISNUMBER(SEARCH($AB$11,Dienstplan!$DT$8:$EX$19)))))-$Q68</f>
        <v>5</v>
      </c>
      <c r="L68" s="302">
        <f>SUMPRODUCT((ISNUMBER(SEARCH($Y3,Dienstplan!$B$8:$B$19))*(ISNUMBER(SEARCH($AB$12,Dienstplan!$DT$8:$EX$19)))))</f>
        <v>0</v>
      </c>
      <c r="M68" s="302">
        <f>SUMPRODUCT((ISNUMBER(SEARCH($Y3,Dienstplan!$B$8:$B$19))*(ISNUMBER(SEARCH($AB$13,Dienstplan!$DT$8:$EX$19)))))</f>
        <v>0</v>
      </c>
      <c r="N68" s="302">
        <f>SUMPRODUCT((ISNUMBER(SEARCH($Y3,Dienstplan!$B$8:$B$19))*(ISNUMBER(SEARCH($AB$14,Dienstplan!$DT$8:$EX$19)))))</f>
        <v>0</v>
      </c>
      <c r="O68" s="302">
        <f>SUMPRODUCT((ISNUMBER(SEARCH($Y3,Dienstplan!$B$8:$B$19))*(ISNUMBER(SEARCH($AB$15,Dienstplan!$DT$8:$EX$19)))))</f>
        <v>0</v>
      </c>
      <c r="P68" s="302">
        <f>SUMPRODUCT((ISNUMBER(SEARCH($Y3,Dienstplan!$B$8:$B$19))*(ISNUMBER(SEARCH($AB$16,Dienstplan!$DT$8:$EX$19)))))</f>
        <v>0</v>
      </c>
      <c r="Q68" s="302">
        <f>SUMPRODUCT((ISNUMBER(SEARCH($Y3,Dienstplan!$B$8:$B$19))*(ISNUMBER(SEARCH($AB$17,Dienstplan!$DT$8:$EX$19)))))</f>
        <v>0</v>
      </c>
      <c r="R68" s="302">
        <f>SUMPRODUCT((ISNUMBER(SEARCH($Y3,Dienstplan!$B$8:$B$19))*(ISNUMBER(SEARCH($AB$18,Dienstplan!$DT$8:$EX$19)))))</f>
        <v>0</v>
      </c>
      <c r="S68" s="308">
        <f>SUMPRODUCT((ISNUMBER(SEARCH($Y3,Dienstplan!$B$8:$B$19))*(ISNUMBER(SEARCH($AB$19,Dienstplan!$DT$8:$EX$19)))))</f>
        <v>1</v>
      </c>
      <c r="T68" s="302">
        <f t="shared" ref="T68:T78" si="31">SUM($F$66*$Z3)</f>
        <v>160</v>
      </c>
      <c r="U68" s="330">
        <f>SUM($C68*Frueh_1+$D68*Spaet_1+$E68*Nacht_1+$F68*Normal_1+$I68*Sonderd_1-$J68*Velten+$K68*Velten+$L68*EH_Kurs+$M68*Koor_taet+$N68*Sekre_1+$O68*Velten+$R68*Velten+$P68*Velten+$Q68*Velten+G68*Velt_M+H68*Velt_M)</f>
        <v>77.5</v>
      </c>
      <c r="V68" s="308">
        <f t="shared" ref="V68:V78" si="32">SUM($U68-$T68)</f>
        <v>-82.5</v>
      </c>
      <c r="W68" s="318">
        <f t="shared" ref="W68:W78" si="33">V68+W52</f>
        <v>-209</v>
      </c>
    </row>
    <row r="69" ht="12.75" customHeight="1">
      <c r="A69" s="308"/>
      <c r="B69" s="329" t="str">
        <f t="shared" si="30"/>
        <v>Siebert</v>
      </c>
      <c r="C69" s="302">
        <f>SUMPRODUCT((ISNUMBER(SEARCH($Y4,Dienstplan!$B$8:$B$19))*(ISNUMBER(SEARCH($AB$3,Dienstplan!$DT$8:$EX$19)))))-D69</f>
        <v>0</v>
      </c>
      <c r="D69" s="302">
        <f>SUMPRODUCT((ISNUMBER(SEARCH($Y4,Dienstplan!$B$8:$B$19))*(ISNUMBER(SEARCH($AB$4,Dienstplan!$DT$8:$EX$19)))))</f>
        <v>0</v>
      </c>
      <c r="E69" s="302">
        <f>SUMPRODUCT((ISNUMBER(SEARCH($Y4,Dienstplan!$B$8:$B$19))*(ISNUMBER(SEARCH($AB$5,Dienstplan!$DT$8:$EX$19)))))</f>
        <v>5</v>
      </c>
      <c r="F69" s="302">
        <f>SUMPRODUCT((ISNUMBER(SEARCH($Y4,Dienstplan!$B$8:$B$19))*(ISNUMBER(SEARCH($AB$6,Dienstplan!$DT$8:$EX$19)))))</f>
        <v>2</v>
      </c>
      <c r="G69" s="302">
        <f>SUMPRODUCT((ISNUMBER(SEARCH($Y4,Dienstplan!$B$8:$B$19))*(ISNUMBER(SEARCH($AB$7,Dienstplan!$DT$8:$EX$19)))))-H69</f>
        <v>0</v>
      </c>
      <c r="H69" s="302">
        <f>SUMPRODUCT((ISNUMBER(SEARCH($Y4,Dienstplan!$B$8:$B$19))*(ISNUMBER(SEARCH($AB$8,Dienstplan!$DT$8:$EX$19)))))</f>
        <v>0</v>
      </c>
      <c r="I69" s="302">
        <f>SUMPRODUCT((ISNUMBER(SEARCH($Y4,Dienstplan!$B$8:$B$19))*(ISNUMBER(SEARCH($AB$9,Dienstplan!$DT$8:$EX$19)))))</f>
        <v>0</v>
      </c>
      <c r="J69" s="302">
        <f>SUMPRODUCT((ISNUMBER(SEARCH($Y4,Dienstplan!$B$8:$B$19))*(ISNUMBER(SEARCH($AB$10,Dienstplan!$DT$8:$EX$19)))))</f>
        <v>0</v>
      </c>
      <c r="K69" s="302">
        <f>SUMPRODUCT((ISNUMBER(SEARCH($Y4,Dienstplan!$B$8:$B$19))*(ISNUMBER(SEARCH($AB$11,Dienstplan!$DT$8:$EX$19)))))-$Q69</f>
        <v>0</v>
      </c>
      <c r="L69" s="302">
        <f>SUMPRODUCT((ISNUMBER(SEARCH($Y4,Dienstplan!$B$8:$B$19))*(ISNUMBER(SEARCH($AB$12,Dienstplan!$DT$8:$EX$19)))))</f>
        <v>0</v>
      </c>
      <c r="M69" s="302">
        <f>SUMPRODUCT((ISNUMBER(SEARCH($Y4,Dienstplan!$B$8:$B$19))*(ISNUMBER(SEARCH($AB$13,Dienstplan!$DT$8:$EX$19)))))</f>
        <v>0</v>
      </c>
      <c r="N69" s="302">
        <f>SUMPRODUCT((ISNUMBER(SEARCH($Y4,Dienstplan!$B$8:$B$19))*(ISNUMBER(SEARCH($AB$14,Dienstplan!$DT$8:$EX$19)))))</f>
        <v>0</v>
      </c>
      <c r="O69" s="302">
        <f>SUMPRODUCT((ISNUMBER(SEARCH($Y4,Dienstplan!$B$8:$B$19))*(ISNUMBER(SEARCH($AB$15,Dienstplan!$DT$8:$EX$19)))))</f>
        <v>0</v>
      </c>
      <c r="P69" s="302">
        <f>SUMPRODUCT((ISNUMBER(SEARCH($Y4,Dienstplan!$B$8:$B$19))*(ISNUMBER(SEARCH($AB$16,Dienstplan!$DT$8:$EX$19)))))</f>
        <v>0</v>
      </c>
      <c r="Q69" s="302">
        <f>SUMPRODUCT((ISNUMBER(SEARCH($Y4,Dienstplan!$B$8:$B$19))*(ISNUMBER(SEARCH($AB$17,Dienstplan!$DT$8:$EX$19)))))</f>
        <v>0</v>
      </c>
      <c r="R69" s="302">
        <f>SUMPRODUCT((ISNUMBER(SEARCH($Y4,Dienstplan!$B$8:$B$19))*(ISNUMBER(SEARCH($AB$18,Dienstplan!$DT$8:$EX$19)))))</f>
        <v>0</v>
      </c>
      <c r="S69" s="308">
        <f>SUMPRODUCT((ISNUMBER(SEARCH($Y4,Dienstplan!$B$8:$B$19))*(ISNUMBER(SEARCH($AB$19,Dienstplan!$DT$8:$EX$19)))))</f>
        <v>0</v>
      </c>
      <c r="T69" s="302">
        <f t="shared" si="31"/>
        <v>140</v>
      </c>
      <c r="U69" s="330">
        <f>SUM($C69*Frueh_1+$D69*Spaet_1+$E69*Nacht_1+$F69*Normal_1+$I69*Sonderd_1-$J69*Brue_H+$K69*Brue_H+$L69*EH_Kurs+$M69*Koor_taet+$N69*Sekre_1+$O69*Brue_H+$R69*Brue_H+$P69*Brue_H+$Q69*Brue_H+G69*Brue_H+H69*Brue_H)</f>
        <v>52.5</v>
      </c>
      <c r="V69" s="308">
        <f t="shared" si="32"/>
        <v>-87.5</v>
      </c>
      <c r="W69" s="318">
        <f t="shared" si="33"/>
        <v>-169.25</v>
      </c>
    </row>
    <row r="70" ht="12.75" customHeight="1">
      <c r="A70" s="308"/>
      <c r="B70" s="329" t="str">
        <f t="shared" si="30"/>
        <v>Jochim</v>
      </c>
      <c r="C70" s="302">
        <f>SUMPRODUCT((ISNUMBER(SEARCH($Y5,Dienstplan!$B$8:$B$19))*(ISNUMBER(SEARCH($AB$3,Dienstplan!$DT$8:$EX$19)))))-D70</f>
        <v>0</v>
      </c>
      <c r="D70" s="302">
        <f>SUMPRODUCT((ISNUMBER(SEARCH($Y5,Dienstplan!$B$8:$B$19))*(ISNUMBER(SEARCH($AB$4,Dienstplan!$DT$8:$EX$19)))))</f>
        <v>0</v>
      </c>
      <c r="E70" s="302">
        <f>SUMPRODUCT((ISNUMBER(SEARCH($Y5,Dienstplan!$B$8:$B$19))*(ISNUMBER(SEARCH($AB$5,Dienstplan!$DT$8:$EX$19)))))</f>
        <v>0</v>
      </c>
      <c r="F70" s="302">
        <f>SUMPRODUCT((ISNUMBER(SEARCH($Y5,Dienstplan!$B$8:$B$19))*(ISNUMBER(SEARCH($AB$6,Dienstplan!$DT$8:$EX$19)))))</f>
        <v>0</v>
      </c>
      <c r="G70" s="302">
        <f>SUMPRODUCT((ISNUMBER(SEARCH($Y5,Dienstplan!$B$8:$B$19))*(ISNUMBER(SEARCH($AB$7,Dienstplan!$DT$8:$EX$19)))))-H70</f>
        <v>0</v>
      </c>
      <c r="H70" s="302">
        <f>SUMPRODUCT((ISNUMBER(SEARCH($Y5,Dienstplan!$B$8:$B$19))*(ISNUMBER(SEARCH($AB$8,Dienstplan!$DT$8:$EX$19)))))</f>
        <v>0</v>
      </c>
      <c r="I70" s="302">
        <f>SUMPRODUCT((ISNUMBER(SEARCH($Y5,Dienstplan!$B$8:$B$19))*(ISNUMBER(SEARCH($AB$9,Dienstplan!$DT$8:$EX$19)))))</f>
        <v>0</v>
      </c>
      <c r="J70" s="302">
        <f>SUMPRODUCT((ISNUMBER(SEARCH($Y5,Dienstplan!$B$8:$B$19))*(ISNUMBER(SEARCH($AB$10,Dienstplan!$DT$8:$EX$19)))))</f>
        <v>0</v>
      </c>
      <c r="K70" s="302">
        <f>SUMPRODUCT((ISNUMBER(SEARCH($Y5,Dienstplan!$B$8:$B$19))*(ISNUMBER(SEARCH($AB$11,Dienstplan!$DT$8:$EX$19)))))-$Q70</f>
        <v>0</v>
      </c>
      <c r="L70" s="302">
        <f>SUMPRODUCT((ISNUMBER(SEARCH($Y5,Dienstplan!$B$8:$B$19))*(ISNUMBER(SEARCH($AB$12,Dienstplan!$DT$8:$EX$19)))))</f>
        <v>0</v>
      </c>
      <c r="M70" s="302">
        <f>SUMPRODUCT((ISNUMBER(SEARCH($Y5,Dienstplan!$B$8:$B$19))*(ISNUMBER(SEARCH($AB$13,Dienstplan!$DT$8:$EX$19)))))</f>
        <v>0</v>
      </c>
      <c r="N70" s="302">
        <f>SUMPRODUCT((ISNUMBER(SEARCH($Y5,Dienstplan!$B$8:$B$19))*(ISNUMBER(SEARCH($AB$14,Dienstplan!$DT$8:$EX$19)))))</f>
        <v>0</v>
      </c>
      <c r="O70" s="302">
        <f>SUMPRODUCT((ISNUMBER(SEARCH($Y5,Dienstplan!$B$8:$B$19))*(ISNUMBER(SEARCH($AB$15,Dienstplan!$DT$8:$EX$19)))))</f>
        <v>0</v>
      </c>
      <c r="P70" s="302">
        <f>SUMPRODUCT((ISNUMBER(SEARCH($Y5,Dienstplan!$B$8:$B$19))*(ISNUMBER(SEARCH($AB$16,Dienstplan!$DT$8:$EX$19)))))</f>
        <v>0</v>
      </c>
      <c r="Q70" s="302">
        <f>SUMPRODUCT((ISNUMBER(SEARCH($Y5,Dienstplan!$B$8:$B$19))*(ISNUMBER(SEARCH($AB$17,Dienstplan!$DT$8:$EX$19)))))</f>
        <v>0</v>
      </c>
      <c r="R70" s="302">
        <f>SUMPRODUCT((ISNUMBER(SEARCH($Y5,Dienstplan!$B$8:$B$19))*(ISNUMBER(SEARCH($AB$18,Dienstplan!$DT$8:$EX$19)))))</f>
        <v>0</v>
      </c>
      <c r="S70" s="308">
        <f>SUMPRODUCT((ISNUMBER(SEARCH($Y5,Dienstplan!$B$8:$B$19))*(ISNUMBER(SEARCH($AB$19,Dienstplan!$DT$8:$EX$19)))))</f>
        <v>0</v>
      </c>
      <c r="T70" s="302">
        <f t="shared" si="31"/>
        <v>140</v>
      </c>
      <c r="U70" s="330">
        <f>SUM($C70*Frueh_1+$D70*Spaet_1+$E70*Nacht_1+$F70*Normal_1+$I70*Sonderd_1-$J70*Rath_M+$K70*Rath_M+$L70*EH_Kurs+$M70*Koor_taet+$N70*Sekre_1+$O70*Rath_M+$R70*Rath_M+$P70*Rath_M+$Q70*Rath_M+G70*Rath_M+H70*Rath_M)</f>
        <v>0</v>
      </c>
      <c r="V70" s="308">
        <f t="shared" si="32"/>
        <v>-140</v>
      </c>
      <c r="W70" s="318">
        <f t="shared" si="33"/>
        <v>-579.75</v>
      </c>
    </row>
    <row r="71" ht="12.75" customHeight="1">
      <c r="A71" s="308"/>
      <c r="B71" s="329" t="str">
        <f t="shared" si="30"/>
        <v>Wunsch</v>
      </c>
      <c r="C71" s="302">
        <f>SUMPRODUCT((ISNUMBER(SEARCH($Y6,Dienstplan!$B$8:$B$19))*(ISNUMBER(SEARCH($AB$3,Dienstplan!$DT$8:$EX$19)))))-D71</f>
        <v>0</v>
      </c>
      <c r="D71" s="302">
        <f>SUMPRODUCT((ISNUMBER(SEARCH($Y6,Dienstplan!$B$8:$B$19))*(ISNUMBER(SEARCH($AB$4,Dienstplan!$DT$8:$EX$19)))))</f>
        <v>0</v>
      </c>
      <c r="E71" s="302">
        <f>SUMPRODUCT((ISNUMBER(SEARCH($Y6,Dienstplan!$B$8:$B$19))*(ISNUMBER(SEARCH($AB$5,Dienstplan!$DT$8:$EX$19)))))</f>
        <v>1</v>
      </c>
      <c r="F71" s="302">
        <f>SUMPRODUCT((ISNUMBER(SEARCH($Y6,Dienstplan!$B$8:$B$19))*(ISNUMBER(SEARCH($AB$6,Dienstplan!$DT$8:$EX$19)))))</f>
        <v>3</v>
      </c>
      <c r="G71" s="302">
        <f>SUMPRODUCT((ISNUMBER(SEARCH($Y6,Dienstplan!$B$8:$B$19))*(ISNUMBER(SEARCH($AB$7,Dienstplan!$DT$8:$EX$19)))))-H71</f>
        <v>0</v>
      </c>
      <c r="H71" s="302">
        <f>SUMPRODUCT((ISNUMBER(SEARCH($Y6,Dienstplan!$B$8:$B$19))*(ISNUMBER(SEARCH($AB$8,Dienstplan!$DT$8:$EX$19)))))</f>
        <v>0</v>
      </c>
      <c r="I71" s="302">
        <f>SUMPRODUCT((ISNUMBER(SEARCH($Y6,Dienstplan!$B$8:$B$19))*(ISNUMBER(SEARCH($AB$9,Dienstplan!$DT$8:$EX$19)))))</f>
        <v>0</v>
      </c>
      <c r="J71" s="302">
        <f>SUMPRODUCT((ISNUMBER(SEARCH($Y6,Dienstplan!$B$8:$B$19))*(ISNUMBER(SEARCH($AB$10,Dienstplan!$DT$8:$EX$19)))))</f>
        <v>0</v>
      </c>
      <c r="K71" s="302">
        <f>SUMPRODUCT((ISNUMBER(SEARCH($Y6,Dienstplan!$B$8:$B$19))*(ISNUMBER(SEARCH($AB$11,Dienstplan!$DT$8:$EX$19)))))-$Q71</f>
        <v>6</v>
      </c>
      <c r="L71" s="302">
        <f>SUMPRODUCT((ISNUMBER(SEARCH($Y6,Dienstplan!$B$8:$B$19))*(ISNUMBER(SEARCH($AB$12,Dienstplan!$DT$8:$EX$19)))))</f>
        <v>0</v>
      </c>
      <c r="M71" s="302">
        <f>SUMPRODUCT((ISNUMBER(SEARCH($Y6,Dienstplan!$B$8:$B$19))*(ISNUMBER(SEARCH($AB$13,Dienstplan!$DT$8:$EX$19)))))</f>
        <v>0</v>
      </c>
      <c r="N71" s="302">
        <f>SUMPRODUCT((ISNUMBER(SEARCH($Y6,Dienstplan!$B$8:$B$19))*(ISNUMBER(SEARCH($AB$14,Dienstplan!$DT$8:$EX$19)))))</f>
        <v>0</v>
      </c>
      <c r="O71" s="302">
        <f>SUMPRODUCT((ISNUMBER(SEARCH($Y6,Dienstplan!$B$8:$B$19))*(ISNUMBER(SEARCH($AB$15,Dienstplan!$DT$8:$EX$19)))))</f>
        <v>0</v>
      </c>
      <c r="P71" s="302">
        <f>SUMPRODUCT((ISNUMBER(SEARCH($Y6,Dienstplan!$B$8:$B$19))*(ISNUMBER(SEARCH($AB$16,Dienstplan!$DT$8:$EX$19)))))</f>
        <v>0</v>
      </c>
      <c r="Q71" s="302">
        <f>SUMPRODUCT((ISNUMBER(SEARCH($Y6,Dienstplan!$B$8:$B$19))*(ISNUMBER(SEARCH($AB$17,Dienstplan!$DT$8:$EX$19)))))</f>
        <v>0</v>
      </c>
      <c r="R71" s="302">
        <f>SUMPRODUCT((ISNUMBER(SEARCH($Y6,Dienstplan!$B$8:$B$19))*(ISNUMBER(SEARCH($AB$18,Dienstplan!$DT$8:$EX$19)))))</f>
        <v>0</v>
      </c>
      <c r="S71" s="308">
        <f>SUMPRODUCT((ISNUMBER(SEARCH($Y6,Dienstplan!$B$8:$B$19))*(ISNUMBER(SEARCH($AB$19,Dienstplan!$DT$8:$EX$19)))))</f>
        <v>1</v>
      </c>
      <c r="T71" s="302">
        <f t="shared" si="31"/>
        <v>160</v>
      </c>
      <c r="U71" s="330">
        <f>SUM($C71*Frueh_1+$D71*Spaet_1+$E71*Nacht_1+$F71*Normal_1+$I71*Sonderd_1-$J71*Scho_K+$K71*Scho_K+$L71*EH_Kurs+$M71*Koor_taet+$N71*Sekre_1+$O71*Scho_K+$R71*Scho_K+$P71*Scho_K+$Q71*Scho_K+G71*Scho_K+H71*Scho_K)</f>
        <v>78</v>
      </c>
      <c r="V71" s="308">
        <f t="shared" si="32"/>
        <v>-82</v>
      </c>
      <c r="W71" s="318">
        <f t="shared" si="33"/>
        <v>-276</v>
      </c>
    </row>
    <row r="72" ht="12.75" customHeight="1">
      <c r="A72" s="308"/>
      <c r="B72" s="329" t="str">
        <f t="shared" si="30"/>
        <v>Göpfrich</v>
      </c>
      <c r="C72" s="302">
        <f>SUMPRODUCT((ISNUMBER(SEARCH($Y7,Dienstplan!$B$8:$B$19))*(ISNUMBER(SEARCH($AB$3,Dienstplan!$DT$8:$EX$19)))))-D72</f>
        <v>0</v>
      </c>
      <c r="D72" s="302">
        <f>SUMPRODUCT((ISNUMBER(SEARCH($Y7,Dienstplan!$B$8:$B$19))*(ISNUMBER(SEARCH($AB$4,Dienstplan!$DT$8:$EX$19)))))</f>
        <v>0</v>
      </c>
      <c r="E72" s="302">
        <f>SUMPRODUCT((ISNUMBER(SEARCH($Y7,Dienstplan!$B$8:$B$19))*(ISNUMBER(SEARCH($AB$5,Dienstplan!$DT$8:$EX$19)))))</f>
        <v>4</v>
      </c>
      <c r="F72" s="302">
        <f>SUMPRODUCT((ISNUMBER(SEARCH($Y7,Dienstplan!$B$8:$B$19))*(ISNUMBER(SEARCH($AB$6,Dienstplan!$DT$8:$EX$19)))))</f>
        <v>5</v>
      </c>
      <c r="G72" s="302">
        <f>SUMPRODUCT((ISNUMBER(SEARCH($Y7,Dienstplan!$B$8:$B$19))*(ISNUMBER(SEARCH($AB$7,Dienstplan!$DT$8:$EX$19)))))-H72</f>
        <v>0</v>
      </c>
      <c r="H72" s="302">
        <f>SUMPRODUCT((ISNUMBER(SEARCH($Y7,Dienstplan!$B$8:$B$19))*(ISNUMBER(SEARCH($AB$8,Dienstplan!$DT$8:$EX$19)))))</f>
        <v>0</v>
      </c>
      <c r="I72" s="302">
        <f>SUMPRODUCT((ISNUMBER(SEARCH($Y7,Dienstplan!$B$8:$B$19))*(ISNUMBER(SEARCH($AB$9,Dienstplan!$DT$8:$EX$19)))))</f>
        <v>0</v>
      </c>
      <c r="J72" s="302">
        <f>SUMPRODUCT((ISNUMBER(SEARCH($Y7,Dienstplan!$B$8:$B$19))*(ISNUMBER(SEARCH($AB$10,Dienstplan!$DT$8:$EX$19)))))</f>
        <v>0</v>
      </c>
      <c r="K72" s="302">
        <f>SUMPRODUCT((ISNUMBER(SEARCH($Y7,Dienstplan!$B$8:$B$19))*(ISNUMBER(SEARCH($AB$11,Dienstplan!$DT$8:$EX$19)))))-$Q72</f>
        <v>0</v>
      </c>
      <c r="L72" s="302">
        <f>SUMPRODUCT((ISNUMBER(SEARCH($Y7,Dienstplan!$B$8:$B$19))*(ISNUMBER(SEARCH($AB$12,Dienstplan!$DT$8:$EX$19)))))</f>
        <v>0</v>
      </c>
      <c r="M72" s="302">
        <f>SUMPRODUCT((ISNUMBER(SEARCH($Y7,Dienstplan!$B$8:$B$19))*(ISNUMBER(SEARCH($AB$13,Dienstplan!$DT$8:$EX$19)))))</f>
        <v>0</v>
      </c>
      <c r="N72" s="302">
        <f>SUMPRODUCT((ISNUMBER(SEARCH($Y7,Dienstplan!$B$8:$B$19))*(ISNUMBER(SEARCH($AB$14,Dienstplan!$DT$8:$EX$19)))))</f>
        <v>0</v>
      </c>
      <c r="O72" s="302">
        <f>SUMPRODUCT((ISNUMBER(SEARCH($Y7,Dienstplan!$B$8:$B$19))*(ISNUMBER(SEARCH($AB$15,Dienstplan!$DT$8:$EX$19)))))</f>
        <v>0</v>
      </c>
      <c r="P72" s="302">
        <f>SUMPRODUCT((ISNUMBER(SEARCH($Y7,Dienstplan!$B$8:$B$19))*(ISNUMBER(SEARCH($AB$16,Dienstplan!$DT$8:$EX$19)))))</f>
        <v>0</v>
      </c>
      <c r="Q72" s="302">
        <f>SUMPRODUCT((ISNUMBER(SEARCH($Y7,Dienstplan!$B$8:$B$19))*(ISNUMBER(SEARCH($AB$17,Dienstplan!$DT$8:$EX$19)))))</f>
        <v>0</v>
      </c>
      <c r="R72" s="302">
        <f>SUMPRODUCT((ISNUMBER(SEARCH($Y7,Dienstplan!$B$8:$B$19))*(ISNUMBER(SEARCH($AB$18,Dienstplan!$DT$8:$EX$19)))))</f>
        <v>0</v>
      </c>
      <c r="S72" s="308">
        <f>SUMPRODUCT((ISNUMBER(SEARCH($Y7,Dienstplan!$B$8:$B$19))*(ISNUMBER(SEARCH($AB$19,Dienstplan!$DT$8:$EX$19)))))</f>
        <v>1</v>
      </c>
      <c r="T72" s="302">
        <f t="shared" si="31"/>
        <v>140</v>
      </c>
      <c r="U72" s="330">
        <f>SUM($C72*Frueh_1+$D72*Spaet_1+$E72*Nacht_1+$F72*Normal_1+$I72*Sonderd_1-$J72*Krie_B+$K72*Krie_B+$L72*EH_Kurs+$M72*Koor_taet+$N72*Sekre_1+$O72*Krie_B+$R72*Krie_B+$P72*Krie_B+$Q72*Krie_B+G72*Krie_B+H72*Krie_B)</f>
        <v>67.5</v>
      </c>
      <c r="V72" s="308">
        <f t="shared" si="32"/>
        <v>-72.5</v>
      </c>
      <c r="W72" s="318">
        <f t="shared" si="33"/>
        <v>-138.75</v>
      </c>
    </row>
    <row r="73" ht="12.75" customHeight="1">
      <c r="A73" s="308"/>
      <c r="B73" s="329" t="str">
        <f t="shared" si="30"/>
        <v>Zeller</v>
      </c>
      <c r="C73" s="302">
        <f>SUMPRODUCT((ISNUMBER(SEARCH($Y8,Dienstplan!$B$8:$B$19))*(ISNUMBER(SEARCH($AB$3,Dienstplan!$DT$8:$EX$19)))))-D73</f>
        <v>0</v>
      </c>
      <c r="D73" s="302">
        <f>SUMPRODUCT((ISNUMBER(SEARCH($Y8,Dienstplan!$B$8:$B$19))*(ISNUMBER(SEARCH($AB$4,Dienstplan!$DT$8:$EX$19)))))</f>
        <v>0</v>
      </c>
      <c r="E73" s="302">
        <f>SUMPRODUCT((ISNUMBER(SEARCH($Y8,Dienstplan!$B$8:$B$19))*(ISNUMBER(SEARCH($AB$5,Dienstplan!$DT$8:$EX$19)))))</f>
        <v>0</v>
      </c>
      <c r="F73" s="302">
        <f>SUMPRODUCT((ISNUMBER(SEARCH($Y8,Dienstplan!$B$8:$B$19))*(ISNUMBER(SEARCH($AB$6,Dienstplan!$DT$8:$EX$19)))))</f>
        <v>4</v>
      </c>
      <c r="G73" s="302">
        <f>SUMPRODUCT((ISNUMBER(SEARCH($Y8,Dienstplan!$B$8:$B$19))*(ISNUMBER(SEARCH($AB$7,Dienstplan!$DT$8:$EX$19)))))-H73</f>
        <v>0</v>
      </c>
      <c r="H73" s="302">
        <f>SUMPRODUCT((ISNUMBER(SEARCH($Y8,Dienstplan!$B$8:$B$19))*(ISNUMBER(SEARCH($AB$8,Dienstplan!$DT$8:$EX$19)))))</f>
        <v>0</v>
      </c>
      <c r="I73" s="302">
        <f>SUMPRODUCT((ISNUMBER(SEARCH($Y8,Dienstplan!$B$8:$B$19))*(ISNUMBER(SEARCH($AB$9,Dienstplan!$DT$8:$EX$19)))))</f>
        <v>0</v>
      </c>
      <c r="J73" s="302">
        <f>SUMPRODUCT((ISNUMBER(SEARCH($Y8,Dienstplan!$B$8:$B$19))*(ISNUMBER(SEARCH($AB$10,Dienstplan!$DT$8:$EX$19)))))</f>
        <v>0</v>
      </c>
      <c r="K73" s="302">
        <f>SUMPRODUCT((ISNUMBER(SEARCH($Y8,Dienstplan!$B$8:$B$19))*(ISNUMBER(SEARCH($AB$11,Dienstplan!$DT$8:$EX$19)))))-$Q73</f>
        <v>6</v>
      </c>
      <c r="L73" s="302">
        <f>SUMPRODUCT((ISNUMBER(SEARCH($Y8,Dienstplan!$B$8:$B$19))*(ISNUMBER(SEARCH($AB$12,Dienstplan!$DT$8:$EX$19)))))</f>
        <v>0</v>
      </c>
      <c r="M73" s="302">
        <f>SUMPRODUCT((ISNUMBER(SEARCH($Y8,Dienstplan!$B$8:$B$19))*(ISNUMBER(SEARCH($AB$13,Dienstplan!$DT$8:$EX$19)))))</f>
        <v>0</v>
      </c>
      <c r="N73" s="302">
        <f>SUMPRODUCT((ISNUMBER(SEARCH($Y8,Dienstplan!$B$8:$B$19))*(ISNUMBER(SEARCH($AB$14,Dienstplan!$DT$8:$EX$19)))))</f>
        <v>0</v>
      </c>
      <c r="O73" s="302">
        <f>SUMPRODUCT((ISNUMBER(SEARCH($Y8,Dienstplan!$B$8:$B$19))*(ISNUMBER(SEARCH($AB$15,Dienstplan!$DT$8:$EX$19)))))</f>
        <v>0</v>
      </c>
      <c r="P73" s="302">
        <f>SUMPRODUCT((ISNUMBER(SEARCH($Y8,Dienstplan!$B$8:$B$19))*(ISNUMBER(SEARCH($AB$16,Dienstplan!$DT$8:$EX$19)))))</f>
        <v>0</v>
      </c>
      <c r="Q73" s="302">
        <f>SUMPRODUCT((ISNUMBER(SEARCH($Y8,Dienstplan!$B$8:$B$19))*(ISNUMBER(SEARCH($AB$17,Dienstplan!$DT$8:$EX$19)))))</f>
        <v>0</v>
      </c>
      <c r="R73" s="302">
        <f>SUMPRODUCT((ISNUMBER(SEARCH($Y8,Dienstplan!$B$8:$B$19))*(ISNUMBER(SEARCH($AB$18,Dienstplan!$DT$8:$EX$19)))))</f>
        <v>0</v>
      </c>
      <c r="S73" s="308">
        <f>SUMPRODUCT((ISNUMBER(SEARCH($Y8,Dienstplan!$B$8:$B$19))*(ISNUMBER(SEARCH($AB$19,Dienstplan!$DT$8:$EX$19)))))</f>
        <v>1</v>
      </c>
      <c r="T73" s="302">
        <f t="shared" si="31"/>
        <v>160</v>
      </c>
      <c r="U73" s="330">
        <f>SUM($C73*Frueh_1+$D73*Spaet_1+$E73*Nacht_1+$F73*Normal_1+$I73*Sonderd_1-$J73*Muster+$K73*Muster+$L73*EH_Kurs+$M73*Koor_taet+$N73*Sekre_1+$O73*Muster+$P73*Muster+$Q73*Muster+$R73*Muster+G73*Muster+H73*Muster)</f>
        <v>78</v>
      </c>
      <c r="V73" s="308">
        <f t="shared" si="32"/>
        <v>-82</v>
      </c>
      <c r="W73" s="318">
        <f t="shared" si="33"/>
        <v>-236.75</v>
      </c>
    </row>
    <row r="74" ht="12.75" customHeight="1">
      <c r="A74" s="308"/>
      <c r="B74" s="329" t="str">
        <f t="shared" si="30"/>
        <v>Behrendt</v>
      </c>
      <c r="C74" s="302">
        <f>SUMPRODUCT((ISNUMBER(SEARCH($Y9,Dienstplan!$B$8:$B$19))*(ISNUMBER(SEARCH($AB$3,Dienstplan!$DT$8:$EX$19)))))-D74</f>
        <v>0</v>
      </c>
      <c r="D74" s="302">
        <f>SUMPRODUCT((ISNUMBER(SEARCH($Y9,Dienstplan!$B$8:$B$19))*(ISNUMBER(SEARCH($AB$4,Dienstplan!$DT$8:$EX$19)))))</f>
        <v>0</v>
      </c>
      <c r="E74" s="302">
        <f>SUMPRODUCT((ISNUMBER(SEARCH($Y9,Dienstplan!$B$8:$B$19))*(ISNUMBER(SEARCH($AB$5,Dienstplan!$DT$8:$EX$19)))))</f>
        <v>0</v>
      </c>
      <c r="F74" s="302">
        <f>SUMPRODUCT((ISNUMBER(SEARCH($Y9,Dienstplan!$B$8:$B$19))*(ISNUMBER(SEARCH($AB$6,Dienstplan!$DT$8:$EX$19)))))</f>
        <v>0</v>
      </c>
      <c r="G74" s="302">
        <f>SUMPRODUCT((ISNUMBER(SEARCH($Y9,Dienstplan!$B$8:$B$19))*(ISNUMBER(SEARCH($AB$7,Dienstplan!$DT$8:$EX$19)))))-H74</f>
        <v>0</v>
      </c>
      <c r="H74" s="302">
        <f>SUMPRODUCT((ISNUMBER(SEARCH($Y9,Dienstplan!$B$8:$B$19))*(ISNUMBER(SEARCH($AB$8,Dienstplan!$DT$8:$EX$19)))))</f>
        <v>0</v>
      </c>
      <c r="I74" s="302">
        <f>SUMPRODUCT((ISNUMBER(SEARCH($Y9,Dienstplan!$B$8:$B$19))*(ISNUMBER(SEARCH($AB$9,Dienstplan!$DT$8:$EX$19)))))</f>
        <v>0</v>
      </c>
      <c r="J74" s="302">
        <f>SUMPRODUCT((ISNUMBER(SEARCH($Y9,Dienstplan!$B$8:$B$19))*(ISNUMBER(SEARCH($AB$10,Dienstplan!$DT$8:$EX$19)))))</f>
        <v>0</v>
      </c>
      <c r="K74" s="302">
        <f>SUMPRODUCT((ISNUMBER(SEARCH($Y9,Dienstplan!$B$8:$B$19))*(ISNUMBER(SEARCH($AB$11,Dienstplan!$DT$8:$EX$19)))))-$Q74</f>
        <v>0</v>
      </c>
      <c r="L74" s="302">
        <f>SUMPRODUCT((ISNUMBER(SEARCH($Y9,Dienstplan!$B$8:$B$19))*(ISNUMBER(SEARCH($AB$12,Dienstplan!$DT$8:$EX$19)))))</f>
        <v>0</v>
      </c>
      <c r="M74" s="302">
        <f>SUMPRODUCT((ISNUMBER(SEARCH($Y9,Dienstplan!$B$8:$B$19))*(ISNUMBER(SEARCH($AB$13,Dienstplan!$DT$8:$EX$19)))))</f>
        <v>0</v>
      </c>
      <c r="N74" s="302">
        <f>SUMPRODUCT((ISNUMBER(SEARCH($Y9,Dienstplan!$B$8:$B$19))*(ISNUMBER(SEARCH($AB$14,Dienstplan!$DT$8:$EX$19)))))</f>
        <v>0</v>
      </c>
      <c r="O74" s="302">
        <f>SUMPRODUCT((ISNUMBER(SEARCH($Y9,Dienstplan!$B$8:$B$19))*(ISNUMBER(SEARCH($AB$15,Dienstplan!$DT$8:$EX$19)))))</f>
        <v>0</v>
      </c>
      <c r="P74" s="302">
        <f>SUMPRODUCT((ISNUMBER(SEARCH($Y9,Dienstplan!$B$8:$B$19))*(ISNUMBER(SEARCH($AB$16,Dienstplan!$DT$8:$EX$19)))))</f>
        <v>0</v>
      </c>
      <c r="Q74" s="302">
        <f>SUMPRODUCT((ISNUMBER(SEARCH($Y9,Dienstplan!$B$8:$B$19))*(ISNUMBER(SEARCH($AB$17,Dienstplan!$DT$8:$EX$19)))))</f>
        <v>0</v>
      </c>
      <c r="R74" s="302">
        <f>SUMPRODUCT((ISNUMBER(SEARCH($Y9,Dienstplan!$B$8:$B$19))*(ISNUMBER(SEARCH($AB$18,Dienstplan!$DT$8:$EX$19)))))</f>
        <v>0</v>
      </c>
      <c r="S74" s="308">
        <f>SUMPRODUCT((ISNUMBER(SEARCH($Y9,Dienstplan!$B$8:$B$19))*(ISNUMBER(SEARCH($AB$19,Dienstplan!$DT$8:$EX$19)))))</f>
        <v>0</v>
      </c>
      <c r="T74" s="302">
        <f t="shared" si="31"/>
        <v>140</v>
      </c>
      <c r="U74" s="330">
        <f>SUM($C74*Frueh_1+$D74*Spaet_1+$E74*Nacht_1+$F74*Normal_1+$I74*Sonderd_1-$J74*Muster+$K74*Muster+$L74*EH_Kurs+$M74*Koor_taet+$N74*Sekre_1+$O74*Muster+$P74*Muster+$Q74*Muster+$R74*Muster+G74*Muster+H74*Muster)</f>
        <v>0</v>
      </c>
      <c r="V74" s="308">
        <f t="shared" si="32"/>
        <v>-140</v>
      </c>
      <c r="W74" s="318">
        <f t="shared" si="33"/>
        <v>-311.95</v>
      </c>
    </row>
    <row r="75" ht="12.75" customHeight="1">
      <c r="A75" s="308"/>
      <c r="B75" s="329" t="str">
        <f t="shared" si="30"/>
        <v>Krempl</v>
      </c>
      <c r="C75" s="302">
        <f>SUMPRODUCT((ISNUMBER(SEARCH($Y10,Dienstplan!$B$8:$B$19))*(ISNUMBER(SEARCH($AB$3,Dienstplan!$DT$8:$EX$19)))))-D75</f>
        <v>0</v>
      </c>
      <c r="D75" s="302">
        <f>SUMPRODUCT((ISNUMBER(SEARCH($Y10,Dienstplan!$B$8:$B$19))*(ISNUMBER(SEARCH($AB$4,Dienstplan!$DT$8:$EX$19)))))</f>
        <v>0</v>
      </c>
      <c r="E75" s="302">
        <f>SUMPRODUCT((ISNUMBER(SEARCH($Y10,Dienstplan!$B$8:$B$19))*(ISNUMBER(SEARCH($AB$5,Dienstplan!$DT$8:$EX$19)))))</f>
        <v>0</v>
      </c>
      <c r="F75" s="302">
        <f>SUMPRODUCT((ISNUMBER(SEARCH($Y10,Dienstplan!$B$8:$B$19))*(ISNUMBER(SEARCH($AB$6,Dienstplan!$DT$8:$EX$19)))))</f>
        <v>0</v>
      </c>
      <c r="G75" s="302">
        <f>SUMPRODUCT((ISNUMBER(SEARCH($Y10,Dienstplan!$B$8:$B$19))*(ISNUMBER(SEARCH($AB$7,Dienstplan!$DT$8:$EX$19)))))-H75</f>
        <v>0</v>
      </c>
      <c r="H75" s="302">
        <f>SUMPRODUCT((ISNUMBER(SEARCH($Y10,Dienstplan!$B$8:$B$19))*(ISNUMBER(SEARCH($AB$8,Dienstplan!$DT$8:$EX$19)))))</f>
        <v>0</v>
      </c>
      <c r="I75" s="302">
        <f>SUMPRODUCT((ISNUMBER(SEARCH($Y10,Dienstplan!$B$8:$B$19))*(ISNUMBER(SEARCH($AB$9,Dienstplan!$DT$8:$EX$19)))))</f>
        <v>0</v>
      </c>
      <c r="J75" s="302">
        <f>SUMPRODUCT((ISNUMBER(SEARCH($Y10,Dienstplan!$B$8:$B$19))*(ISNUMBER(SEARCH($AB$10,Dienstplan!$DT$8:$EX$19)))))</f>
        <v>0</v>
      </c>
      <c r="K75" s="302">
        <f>SUMPRODUCT((ISNUMBER(SEARCH($Y10,Dienstplan!$B$8:$B$19))*(ISNUMBER(SEARCH($AB$11,Dienstplan!$DT$8:$EX$19)))))-$Q75</f>
        <v>5</v>
      </c>
      <c r="L75" s="302">
        <f>SUMPRODUCT((ISNUMBER(SEARCH($Y10,Dienstplan!$B$8:$B$19))*(ISNUMBER(SEARCH($AB$12,Dienstplan!$DT$8:$EX$19)))))</f>
        <v>0</v>
      </c>
      <c r="M75" s="302">
        <f>SUMPRODUCT((ISNUMBER(SEARCH($Y10,Dienstplan!$B$8:$B$19))*(ISNUMBER(SEARCH($AB$13,Dienstplan!$DT$8:$EX$19)))))</f>
        <v>0</v>
      </c>
      <c r="N75" s="302">
        <f>SUMPRODUCT((ISNUMBER(SEARCH($Y10,Dienstplan!$B$8:$B$19))*(ISNUMBER(SEARCH($AB$14,Dienstplan!$DT$8:$EX$19)))))</f>
        <v>0</v>
      </c>
      <c r="O75" s="302">
        <f>SUMPRODUCT((ISNUMBER(SEARCH($Y10,Dienstplan!$B$8:$B$19))*(ISNUMBER(SEARCH($AB$15,Dienstplan!$DT$8:$EX$19)))))</f>
        <v>0</v>
      </c>
      <c r="P75" s="302">
        <f>SUMPRODUCT((ISNUMBER(SEARCH($Y10,Dienstplan!$B$8:$B$19))*(ISNUMBER(SEARCH($AB$16,Dienstplan!$DT$8:$EX$19)))))</f>
        <v>0</v>
      </c>
      <c r="Q75" s="302">
        <f>SUMPRODUCT((ISNUMBER(SEARCH($Y10,Dienstplan!$B$8:$B$19))*(ISNUMBER(SEARCH($AB$17,Dienstplan!$DT$8:$EX$19)))))</f>
        <v>0</v>
      </c>
      <c r="R75" s="302">
        <f>SUMPRODUCT((ISNUMBER(SEARCH($Y10,Dienstplan!$B$8:$B$19))*(ISNUMBER(SEARCH($AB$18,Dienstplan!$DT$8:$EX$19)))))</f>
        <v>0</v>
      </c>
      <c r="S75" s="308">
        <f>SUMPRODUCT((ISNUMBER(SEARCH($Y10,Dienstplan!$B$8:$B$19))*(ISNUMBER(SEARCH($AB$19,Dienstplan!$DT$8:$EX$19)))))</f>
        <v>0</v>
      </c>
      <c r="T75" s="302">
        <f t="shared" si="31"/>
        <v>64</v>
      </c>
      <c r="U75" s="330">
        <f>SUM($C75*Frueh_1+$D75*Spaet_1+$E75*Nacht_1+$F75*Normal_1+$I75*Sonderd_1-$J75*Krem_E+$K75*Krem_E+$L75*EH_Kurs+$M75*Koor_taet+$N75*Sekre_1+$O75*Krem_E+$R75*Krem_E+$P75*Krem_E+$Q75*Krem_E+G75*Krem_E+H75*Krem_E)</f>
        <v>16</v>
      </c>
      <c r="V75" s="308">
        <f t="shared" si="32"/>
        <v>-48</v>
      </c>
      <c r="W75" s="318">
        <f t="shared" si="33"/>
        <v>-243.1</v>
      </c>
    </row>
    <row r="76" ht="12.75" customHeight="1">
      <c r="A76" s="308"/>
      <c r="B76" s="329" t="str">
        <f t="shared" si="30"/>
        <v>Putschler</v>
      </c>
      <c r="C76" s="302">
        <f>SUMPRODUCT((ISNUMBER(SEARCH($Y11,Dienstplan!$B$8:$B$19))*(ISNUMBER(SEARCH($AB$3,Dienstplan!$DT$8:$EX$19)))))-D76</f>
        <v>0</v>
      </c>
      <c r="D76" s="302">
        <f>SUMPRODUCT((ISNUMBER(SEARCH($Y11,Dienstplan!$B$8:$B$19))*(ISNUMBER(SEARCH($AB$4,Dienstplan!$DT$8:$EX$19)))))</f>
        <v>0</v>
      </c>
      <c r="E76" s="302">
        <f>SUMPRODUCT((ISNUMBER(SEARCH($Y11,Dienstplan!$B$8:$B$19))*(ISNUMBER(SEARCH($AB$5,Dienstplan!$DT$8:$EX$19)))))</f>
        <v>0</v>
      </c>
      <c r="F76" s="302">
        <f>SUMPRODUCT((ISNUMBER(SEARCH($Y11,Dienstplan!$B$8:$B$19))*(ISNUMBER(SEARCH($AB$6,Dienstplan!$DT$8:$EX$19)))))</f>
        <v>0</v>
      </c>
      <c r="G76" s="302">
        <f>SUMPRODUCT((ISNUMBER(SEARCH($Y11,Dienstplan!$B$8:$B$19))*(ISNUMBER(SEARCH($AB$7,Dienstplan!$DT$8:$EX$19)))))-H76</f>
        <v>0</v>
      </c>
      <c r="H76" s="302">
        <f>SUMPRODUCT((ISNUMBER(SEARCH($Y11,Dienstplan!$B$8:$B$19))*(ISNUMBER(SEARCH($AB$8,Dienstplan!$DT$8:$EX$19)))))</f>
        <v>0</v>
      </c>
      <c r="I76" s="302">
        <f>SUMPRODUCT((ISNUMBER(SEARCH($Y11,Dienstplan!$B$8:$B$19))*(ISNUMBER(SEARCH($AB$9,Dienstplan!$DT$8:$EX$19)))))</f>
        <v>0</v>
      </c>
      <c r="J76" s="302">
        <f>SUMPRODUCT((ISNUMBER(SEARCH($Y11,Dienstplan!$B$8:$B$19))*(ISNUMBER(SEARCH($AB$10,Dienstplan!$DT$8:$EX$19)))))</f>
        <v>0</v>
      </c>
      <c r="K76" s="302">
        <f>SUMPRODUCT((ISNUMBER(SEARCH($Y11,Dienstplan!$B$8:$B$19))*(ISNUMBER(SEARCH($AB$11,Dienstplan!$DT$8:$EX$19)))))-$Q76</f>
        <v>9</v>
      </c>
      <c r="L76" s="302">
        <f>SUMPRODUCT((ISNUMBER(SEARCH($Y11,Dienstplan!$B$8:$B$19))*(ISNUMBER(SEARCH($AB$12,Dienstplan!$DT$8:$EX$19)))))</f>
        <v>0</v>
      </c>
      <c r="M76" s="302">
        <f>SUMPRODUCT((ISNUMBER(SEARCH($Y11,Dienstplan!$B$8:$B$19))*(ISNUMBER(SEARCH($AB$13,Dienstplan!$DT$8:$EX$19)))))</f>
        <v>0</v>
      </c>
      <c r="N76" s="302">
        <f>SUMPRODUCT((ISNUMBER(SEARCH($Y11,Dienstplan!$B$8:$B$19))*(ISNUMBER(SEARCH($AB$14,Dienstplan!$DT$8:$EX$19)))))</f>
        <v>0</v>
      </c>
      <c r="O76" s="302">
        <f>SUMPRODUCT((ISNUMBER(SEARCH($Y11,Dienstplan!$B$8:$B$19))*(ISNUMBER(SEARCH($AB$15,Dienstplan!$DT$8:$EX$19)))))</f>
        <v>0</v>
      </c>
      <c r="P76" s="302">
        <f>SUMPRODUCT((ISNUMBER(SEARCH($Y11,Dienstplan!$B$8:$B$19))*(ISNUMBER(SEARCH($AB$16,Dienstplan!$DT$8:$EX$19)))))</f>
        <v>0</v>
      </c>
      <c r="Q76" s="302">
        <f>SUMPRODUCT((ISNUMBER(SEARCH($Y11,Dienstplan!$B$8:$B$19))*(ISNUMBER(SEARCH($AB$17,Dienstplan!$DT$8:$EX$19)))))</f>
        <v>0</v>
      </c>
      <c r="R76" s="302">
        <f>SUMPRODUCT((ISNUMBER(SEARCH($Y11,Dienstplan!$B$8:$B$19))*(ISNUMBER(SEARCH($AB$18,Dienstplan!$DT$8:$EX$19)))))</f>
        <v>0</v>
      </c>
      <c r="S76" s="308">
        <f>SUMPRODUCT((ISNUMBER(SEARCH($Y11,Dienstplan!$B$8:$B$19))*(ISNUMBER(SEARCH($AB$19,Dienstplan!$DT$8:$EX$19)))))</f>
        <v>0</v>
      </c>
      <c r="T76" s="302">
        <f t="shared" si="31"/>
        <v>160</v>
      </c>
      <c r="U76" s="330">
        <f>SUM($C76*Frueh_1+$D76*Spaet_1+$E76*Nacht_1+$F76*Normal_1+$I76*Sonderd_1-$J76*Put_W+$K76*Put_W+$L76*EH_Kurs+$M76*Koor_taet+$N76*Sekre_1+$O76*Put_W+$R76*Put_W+$P76*Put_W+$Q76*Put_W+G76*Put_W+H76*Put_W)</f>
        <v>72</v>
      </c>
      <c r="V76" s="308">
        <f t="shared" si="32"/>
        <v>-88</v>
      </c>
      <c r="W76" s="318">
        <f t="shared" si="33"/>
        <v>-336</v>
      </c>
    </row>
    <row r="77" ht="12.75" customHeight="1">
      <c r="A77" s="308"/>
      <c r="B77" s="329" t="str">
        <f t="shared" si="30"/>
        <v>Schmidt</v>
      </c>
      <c r="C77" s="302">
        <f>SUMPRODUCT((ISNUMBER(SEARCH($Y12,Dienstplan!$B$8:$B$19))*(ISNUMBER(SEARCH($AB$3,Dienstplan!$DT$8:$EX$19)))))-D77</f>
        <v>0</v>
      </c>
      <c r="D77" s="302">
        <f>SUMPRODUCT((ISNUMBER(SEARCH($Y12,Dienstplan!$B$8:$B$19))*(ISNUMBER(SEARCH($AB$4,Dienstplan!$DT$8:$EX$19)))))</f>
        <v>0</v>
      </c>
      <c r="E77" s="302">
        <f>SUMPRODUCT((ISNUMBER(SEARCH($Y12,Dienstplan!$B$8:$B$19))*(ISNUMBER(SEARCH($AB$5,Dienstplan!$DT$8:$EX$19)))))</f>
        <v>0</v>
      </c>
      <c r="F77" s="302">
        <f>SUMPRODUCT((ISNUMBER(SEARCH($Y12,Dienstplan!$B$8:$B$19))*(ISNUMBER(SEARCH($AB$6,Dienstplan!$DT$8:$EX$19)))))</f>
        <v>0</v>
      </c>
      <c r="G77" s="302">
        <f>SUMPRODUCT((ISNUMBER(SEARCH($Y12,Dienstplan!$B$8:$B$19))*(ISNUMBER(SEARCH($AB$7,Dienstplan!$DT$8:$EX$19)))))-H77</f>
        <v>0</v>
      </c>
      <c r="H77" s="302">
        <f>SUMPRODUCT((ISNUMBER(SEARCH($Y12,Dienstplan!$B$8:$B$19))*(ISNUMBER(SEARCH($AB$8,Dienstplan!$DT$8:$EX$19)))))</f>
        <v>0</v>
      </c>
      <c r="I77" s="302">
        <f>SUMPRODUCT((ISNUMBER(SEARCH($Y12,Dienstplan!$B$8:$B$19))*(ISNUMBER(SEARCH($AB$9,Dienstplan!$DT$8:$EX$19)))))</f>
        <v>0</v>
      </c>
      <c r="J77" s="302">
        <f>SUMPRODUCT((ISNUMBER(SEARCH($Y12,Dienstplan!$B$8:$B$19))*(ISNUMBER(SEARCH($AB$10,Dienstplan!$DT$8:$EX$19)))))</f>
        <v>0</v>
      </c>
      <c r="K77" s="302">
        <f>SUMPRODUCT((ISNUMBER(SEARCH($Y12,Dienstplan!$B$8:$B$19))*(ISNUMBER(SEARCH($AB$11,Dienstplan!$DT$8:$EX$19)))))-$Q77</f>
        <v>6</v>
      </c>
      <c r="L77" s="302">
        <f>SUMPRODUCT((ISNUMBER(SEARCH($Y12,Dienstplan!$B$8:$B$19))*(ISNUMBER(SEARCH($AB$12,Dienstplan!$DT$8:$EX$19)))))</f>
        <v>0</v>
      </c>
      <c r="M77" s="302">
        <f>SUMPRODUCT((ISNUMBER(SEARCH($Y12,Dienstplan!$B$8:$B$19))*(ISNUMBER(SEARCH($AB$13,Dienstplan!$DT$8:$EX$19)))))</f>
        <v>0</v>
      </c>
      <c r="N77" s="302">
        <f>SUMPRODUCT((ISNUMBER(SEARCH($Y12,Dienstplan!$B$8:$B$19))*(ISNUMBER(SEARCH($AB$14,Dienstplan!$DT$8:$EX$19)))))</f>
        <v>0</v>
      </c>
      <c r="O77" s="302">
        <f>SUMPRODUCT((ISNUMBER(SEARCH($Y12,Dienstplan!$B$8:$B$19))*(ISNUMBER(SEARCH($AB$15,Dienstplan!$DT$8:$EX$19)))))</f>
        <v>0</v>
      </c>
      <c r="P77" s="302">
        <f>SUMPRODUCT((ISNUMBER(SEARCH($Y12,Dienstplan!$B$8:$B$19))*(ISNUMBER(SEARCH($AB$16,Dienstplan!$DT$8:$EX$19)))))</f>
        <v>0</v>
      </c>
      <c r="Q77" s="302">
        <f>SUMPRODUCT((ISNUMBER(SEARCH($Y12,Dienstplan!$B$8:$B$19))*(ISNUMBER(SEARCH($AB$17,Dienstplan!$DT$8:$EX$19)))))</f>
        <v>0</v>
      </c>
      <c r="R77" s="302">
        <f>SUMPRODUCT((ISNUMBER(SEARCH($Y12,Dienstplan!$B$8:$B$19))*(ISNUMBER(SEARCH($AB$18,Dienstplan!$DT$8:$EX$19)))))</f>
        <v>0</v>
      </c>
      <c r="S77" s="308">
        <f>SUMPRODUCT((ISNUMBER(SEARCH($Y12,Dienstplan!$B$8:$B$19))*(ISNUMBER(SEARCH($AB$19,Dienstplan!$DT$8:$EX$19)))))</f>
        <v>0</v>
      </c>
      <c r="T77" s="302">
        <f t="shared" si="31"/>
        <v>140</v>
      </c>
      <c r="U77" s="330">
        <f>SUM($C77*Frueh_1+$D77*Spaet_1+$E77*Nacht_1+$F77*Normal_1+$I77*Sonderd_1-$J77*Radi_L+$K77*Radi_L+$L77*EH_Kurs+$M77*Koor_taet+$N77*Sekre_1+$O77*Radi_L+$R77*Radi_L+$P77*Radi_L+$Q77*Radi_L+G77*Radi_L+H77*Radi_L)</f>
        <v>42</v>
      </c>
      <c r="V77" s="308">
        <f t="shared" si="32"/>
        <v>-98</v>
      </c>
      <c r="W77" s="318">
        <f t="shared" si="33"/>
        <v>-658</v>
      </c>
    </row>
    <row r="78" ht="12.75" customHeight="1">
      <c r="A78" s="308"/>
      <c r="B78" s="329" t="str">
        <f t="shared" si="30"/>
        <v>Radimersky</v>
      </c>
      <c r="C78" s="302">
        <f>SUMPRODUCT((ISNUMBER(SEARCH($Y13,Dienstplan!$B$8:$B$19))*(ISNUMBER(SEARCH($AB$3,Dienstplan!$DT$8:$EX$19)))))-D78</f>
        <v>0</v>
      </c>
      <c r="D78" s="302">
        <f>SUMPRODUCT((ISNUMBER(SEARCH($Y13,Dienstplan!$B$8:$B$19))*(ISNUMBER(SEARCH($AB$4,Dienstplan!$DT$8:$EX$19)))))</f>
        <v>0</v>
      </c>
      <c r="E78" s="302">
        <f>SUMPRODUCT((ISNUMBER(SEARCH($Y13,Dienstplan!$B$8:$B$19))*(ISNUMBER(SEARCH($AB$5,Dienstplan!$DT$8:$EX$19)))))</f>
        <v>0</v>
      </c>
      <c r="F78" s="302">
        <f>SUMPRODUCT((ISNUMBER(SEARCH($Y13,Dienstplan!$B$8:$B$19))*(ISNUMBER(SEARCH($AB$6,Dienstplan!$DT$8:$EX$19)))))</f>
        <v>0</v>
      </c>
      <c r="G78" s="302">
        <f>SUMPRODUCT((ISNUMBER(SEARCH($Y13,Dienstplan!$B$8:$B$19))*(ISNUMBER(SEARCH($AB$7,Dienstplan!$DT$8:$EX$19)))))-H78</f>
        <v>0</v>
      </c>
      <c r="H78" s="302">
        <f>SUMPRODUCT((ISNUMBER(SEARCH($Y13,Dienstplan!$B$8:$B$19))*(ISNUMBER(SEARCH($AB$8,Dienstplan!$DT$8:$EX$19)))))</f>
        <v>0</v>
      </c>
      <c r="I78" s="302">
        <f>SUMPRODUCT((ISNUMBER(SEARCH($Y13,Dienstplan!$B$8:$B$19))*(ISNUMBER(SEARCH($AB$9,Dienstplan!$DT$8:$EX$19)))))</f>
        <v>0</v>
      </c>
      <c r="J78" s="302">
        <f>SUMPRODUCT((ISNUMBER(SEARCH($Y13,Dienstplan!$B$8:$B$19))*(ISNUMBER(SEARCH($AB$10,Dienstplan!$DT$8:$EX$19)))))</f>
        <v>0</v>
      </c>
      <c r="K78" s="302">
        <f>SUMPRODUCT((ISNUMBER(SEARCH($Y13,Dienstplan!$B$8:$B$19))*(ISNUMBER(SEARCH($AB$11,Dienstplan!$DT$8:$EX$19)))))-$Q78</f>
        <v>5</v>
      </c>
      <c r="L78" s="302">
        <f>SUMPRODUCT((ISNUMBER(SEARCH($Y13,Dienstplan!$B$8:$B$19))*(ISNUMBER(SEARCH($AB$12,Dienstplan!$DT$8:$EX$19)))))</f>
        <v>0</v>
      </c>
      <c r="M78" s="302">
        <f>SUMPRODUCT((ISNUMBER(SEARCH($Y13,Dienstplan!$B$8:$B$19))*(ISNUMBER(SEARCH($AB$13,Dienstplan!$DT$8:$EX$19)))))</f>
        <v>0</v>
      </c>
      <c r="N78" s="302">
        <f>SUMPRODUCT((ISNUMBER(SEARCH($Y13,Dienstplan!$B$8:$B$19))*(ISNUMBER(SEARCH($AB$14,Dienstplan!$DT$8:$EX$19)))))</f>
        <v>0</v>
      </c>
      <c r="O78" s="302">
        <f>SUMPRODUCT((ISNUMBER(SEARCH($Y13,Dienstplan!$B$8:$B$19))*(ISNUMBER(SEARCH($AB$15,Dienstplan!$DT$8:$EX$19)))))</f>
        <v>0</v>
      </c>
      <c r="P78" s="302">
        <f>SUMPRODUCT((ISNUMBER(SEARCH($Y13,Dienstplan!$B$8:$B$19))*(ISNUMBER(SEARCH($AB$16,Dienstplan!$DT$8:$EX$19)))))</f>
        <v>0</v>
      </c>
      <c r="Q78" s="302">
        <f>SUMPRODUCT((ISNUMBER(SEARCH($Y13,Dienstplan!$B$8:$B$19))*(ISNUMBER(SEARCH($AB$17,Dienstplan!$DT$8:$EX$19)))))</f>
        <v>0</v>
      </c>
      <c r="R78" s="302">
        <f>SUMPRODUCT((ISNUMBER(SEARCH($Y13,Dienstplan!$B$8:$B$19))*(ISNUMBER(SEARCH($AB$18,Dienstplan!$DT$8:$EX$19)))))</f>
        <v>0</v>
      </c>
      <c r="S78" s="308">
        <f>SUMPRODUCT((ISNUMBER(SEARCH($Y13,Dienstplan!$B$8:$B$19))*(ISNUMBER(SEARCH($AB$19,Dienstplan!$DT$8:$EX$19)))))</f>
        <v>0</v>
      </c>
      <c r="T78" s="302">
        <f t="shared" si="31"/>
        <v>60</v>
      </c>
      <c r="U78" s="330">
        <f>SUM($C78*Frueh_1+$D78*Spaet_1+$E78*Nacht_1+$F78*Normal_1+$I78*Sonderd_1-$J78*Fortenb+$K78*Fortenb+$L78*EH_Kurs+$M78*Koor_taet+$N78*Sekre_1+$O78*Fortenb+$R78*Fortenb+$P78*Fortenb+$Q78*Fortenb+G78*Fortenb+H78*Fortenb)</f>
        <v>15</v>
      </c>
      <c r="V78" s="308">
        <f t="shared" si="32"/>
        <v>-45</v>
      </c>
      <c r="W78" s="318">
        <f t="shared" si="33"/>
        <v>-267</v>
      </c>
    </row>
    <row r="79" ht="12.75" customHeight="1">
      <c r="A79" s="308"/>
      <c r="B79" s="329"/>
      <c r="S79" s="308"/>
      <c r="V79" s="308"/>
      <c r="W79" s="318"/>
    </row>
    <row r="80" ht="12.75" customHeight="1">
      <c r="A80" s="308"/>
      <c r="B80" s="329" t="s">
        <v>134</v>
      </c>
      <c r="C80" s="303">
        <f t="shared" ref="C80:S80" si="34">SUM(C68:C79)</f>
        <v>0</v>
      </c>
      <c r="D80" s="303">
        <f t="shared" si="34"/>
        <v>0</v>
      </c>
      <c r="E80" s="303">
        <f t="shared" si="34"/>
        <v>10</v>
      </c>
      <c r="F80" s="303">
        <f t="shared" si="34"/>
        <v>19</v>
      </c>
      <c r="G80" s="303">
        <f t="shared" si="34"/>
        <v>0</v>
      </c>
      <c r="H80" s="303">
        <f t="shared" si="34"/>
        <v>0</v>
      </c>
      <c r="I80" s="303">
        <f t="shared" si="34"/>
        <v>0</v>
      </c>
      <c r="J80" s="303">
        <f t="shared" si="34"/>
        <v>0</v>
      </c>
      <c r="K80" s="303">
        <f t="shared" si="34"/>
        <v>42</v>
      </c>
      <c r="L80" s="303">
        <f t="shared" si="34"/>
        <v>0</v>
      </c>
      <c r="M80" s="303">
        <f t="shared" si="34"/>
        <v>0</v>
      </c>
      <c r="N80" s="303">
        <f t="shared" si="34"/>
        <v>0</v>
      </c>
      <c r="O80" s="303">
        <f t="shared" si="34"/>
        <v>0</v>
      </c>
      <c r="P80" s="303">
        <f t="shared" si="34"/>
        <v>0</v>
      </c>
      <c r="Q80" s="303">
        <f t="shared" si="34"/>
        <v>0</v>
      </c>
      <c r="R80" s="303">
        <f t="shared" si="34"/>
        <v>0</v>
      </c>
      <c r="S80" s="323">
        <f t="shared" si="34"/>
        <v>4</v>
      </c>
      <c r="T80" s="303">
        <f t="shared" ref="T80:U80" si="35">SUM(T68:T76)</f>
        <v>1264</v>
      </c>
      <c r="U80" s="303">
        <f t="shared" si="35"/>
        <v>441.5</v>
      </c>
      <c r="V80" s="323"/>
      <c r="W80" s="324"/>
    </row>
    <row r="81" ht="12.75" customHeight="1">
      <c r="A81" s="308"/>
      <c r="B81" s="309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9"/>
      <c r="T81" s="300"/>
      <c r="U81" s="300"/>
      <c r="V81" s="309"/>
      <c r="W81" s="310"/>
    </row>
    <row r="82" ht="12.75" customHeight="1">
      <c r="A82" s="308"/>
      <c r="B82" s="312" t="s">
        <v>162</v>
      </c>
      <c r="D82" s="313" t="s">
        <v>136</v>
      </c>
      <c r="E82" s="314"/>
      <c r="F82" s="315">
        <v>21.0</v>
      </c>
      <c r="G82" s="316"/>
      <c r="H82" s="317"/>
      <c r="I82" s="313" t="s">
        <v>137</v>
      </c>
      <c r="J82" s="314"/>
      <c r="K82" s="315">
        <v>4.0</v>
      </c>
      <c r="S82" s="308"/>
      <c r="V82" s="308"/>
      <c r="W82" s="318"/>
    </row>
    <row r="83" ht="12.75" customHeight="1">
      <c r="A83" s="308"/>
      <c r="B83" s="308"/>
      <c r="C83" s="303" t="str">
        <f>Jahr!C3</f>
        <v>FI</v>
      </c>
      <c r="D83" s="303" t="str">
        <f>Jahr!D3</f>
        <v>FII</v>
      </c>
      <c r="E83" s="303" t="str">
        <f>Jahr!E3</f>
        <v>SI</v>
      </c>
      <c r="F83" s="303" t="str">
        <f>Jahr!F3</f>
        <v>NI</v>
      </c>
      <c r="G83" s="303" t="str">
        <f>Jahr!G3</f>
        <v>DI</v>
      </c>
      <c r="H83" s="303" t="str">
        <f>Jahr!H3</f>
        <v>DII</v>
      </c>
      <c r="I83" s="303" t="str">
        <f>Jahr!I3</f>
        <v>SD</v>
      </c>
      <c r="J83" s="303" t="str">
        <f>Jahr!J3</f>
        <v>GT</v>
      </c>
      <c r="K83" s="303" t="str">
        <f>Jahr!K3</f>
        <v>U</v>
      </c>
      <c r="L83" s="303" t="str">
        <f>Jahr!L3</f>
        <v>EH</v>
      </c>
      <c r="M83" s="303" t="str">
        <f>Jahr!M3</f>
        <v>KT</v>
      </c>
      <c r="N83" s="303" t="str">
        <f>Jahr!N3</f>
        <v>Sek</v>
      </c>
      <c r="O83" s="303" t="str">
        <f>Jahr!O3</f>
        <v>Fobi</v>
      </c>
      <c r="P83" s="303" t="str">
        <f>Jahr!P3</f>
        <v>A</v>
      </c>
      <c r="Q83" s="303" t="str">
        <f>Jahr!Q3</f>
        <v>Kur</v>
      </c>
      <c r="R83" s="303" t="str">
        <f>Jahr!R3</f>
        <v>FZC</v>
      </c>
      <c r="S83" s="303" t="str">
        <f>Jahr!S3</f>
        <v>NST</v>
      </c>
      <c r="T83" s="358" t="s">
        <v>144</v>
      </c>
      <c r="U83" s="358" t="s">
        <v>145</v>
      </c>
      <c r="V83" s="323" t="s">
        <v>146</v>
      </c>
      <c r="W83" s="324" t="s">
        <v>147</v>
      </c>
    </row>
    <row r="84" ht="12.75" customHeight="1">
      <c r="A84" s="308"/>
      <c r="B84" s="329" t="str">
        <f t="shared" ref="B84:B94" si="36">B4</f>
        <v>Breig</v>
      </c>
      <c r="C84" s="302">
        <f>SUMPRODUCT((ISNUMBER(SEARCH($Y3,Dienstplan!$B$8:$B$19))*(ISNUMBER(SEARCH($AB$3,Dienstplan!$EY$8:$GB$19)))))-D84</f>
        <v>0</v>
      </c>
      <c r="D84" s="302">
        <f>SUMPRODUCT((ISNUMBER(SEARCH($Y3,Dienstplan!$B$8:$B$19))*(ISNUMBER(SEARCH($AB$4,Dienstplan!$EY$8:$GB$19)))))</f>
        <v>0</v>
      </c>
      <c r="E84" s="302">
        <f>SUMPRODUCT((ISNUMBER(SEARCH($Y3,Dienstplan!$B$8:$B$19))*(ISNUMBER(SEARCH($AB$5,Dienstplan!$EY$8:$GB$19)))))</f>
        <v>0</v>
      </c>
      <c r="F84" s="302">
        <f>SUMPRODUCT((ISNUMBER(SEARCH($Y3,Dienstplan!$B$8:$B$19))*(ISNUMBER(SEARCH($AB$6,Dienstplan!$EY$8:$GB$19)))))</f>
        <v>3</v>
      </c>
      <c r="G84" s="302">
        <f>SUMPRODUCT((ISNUMBER(SEARCH($Y3,Dienstplan!$B$8:$B$19))*(ISNUMBER(SEARCH($AB$7,Dienstplan!$EY$8:$GB$19)))))-H84</f>
        <v>0</v>
      </c>
      <c r="H84" s="302">
        <f>SUMPRODUCT((ISNUMBER(SEARCH($Y3,Dienstplan!$B$8:$B$19))*(ISNUMBER(SEARCH($AB$8,Dienstplan!$EY$8:$GB$19)))))</f>
        <v>0</v>
      </c>
      <c r="I84" s="302">
        <f>SUMPRODUCT((ISNUMBER(SEARCH($Y3,Dienstplan!$B$8:$B$19))*(ISNUMBER(SEARCH($AB$9,Dienstplan!$EY$8:$GB$19)))))</f>
        <v>0</v>
      </c>
      <c r="J84" s="302">
        <f>SUMPRODUCT((ISNUMBER(SEARCH($Y3,Dienstplan!$B$8:$B$19))*(ISNUMBER(SEARCH($AB$10,Dienstplan!$EY$8:$GB$19)))))</f>
        <v>0</v>
      </c>
      <c r="K84" s="302">
        <f>SUMPRODUCT((ISNUMBER(SEARCH($Y3,Dienstplan!$B$8:$B$19))*(ISNUMBER(SEARCH($AB$11,Dienstplan!$EY$8:$GB$19)))))-$Q84</f>
        <v>3</v>
      </c>
      <c r="L84" s="302">
        <f>SUMPRODUCT((ISNUMBER(SEARCH($Y3,Dienstplan!$B$8:$B$19))*(ISNUMBER(SEARCH($AB$12,Dienstplan!$EY$8:$GB$19)))))</f>
        <v>0</v>
      </c>
      <c r="M84" s="302">
        <f>SUMPRODUCT((ISNUMBER(SEARCH($Y3,Dienstplan!$B$8:$B$19))*(ISNUMBER(SEARCH($AB$13,Dienstplan!$EY$8:$GB$19)))))</f>
        <v>0</v>
      </c>
      <c r="N84" s="302">
        <f>SUMPRODUCT((ISNUMBER(SEARCH($Y3,Dienstplan!$B$8:$B$19))*(ISNUMBER(SEARCH($AB$14,Dienstplan!$EY$8:$GB$19)))))</f>
        <v>0</v>
      </c>
      <c r="O84" s="302">
        <f>SUMPRODUCT((ISNUMBER(SEARCH($Y3,Dienstplan!$B$8:$B$19))*(ISNUMBER(SEARCH($AB$15,Dienstplan!$EY$8:$GB$19)))))</f>
        <v>0</v>
      </c>
      <c r="P84" s="302">
        <f>SUMPRODUCT((ISNUMBER(SEARCH($Y3,Dienstplan!$B$8:$B$19))*(ISNUMBER(SEARCH($AB$16,Dienstplan!$EY$8:$GB$19)))))</f>
        <v>0</v>
      </c>
      <c r="Q84" s="302">
        <f>SUMPRODUCT((ISNUMBER(SEARCH($Y3,Dienstplan!$B$8:$B$19))*(ISNUMBER(SEARCH($AB$17,Dienstplan!$EY$8:$GB$19)))))</f>
        <v>0</v>
      </c>
      <c r="R84" s="302">
        <f>SUMPRODUCT((ISNUMBER(SEARCH($Y3,Dienstplan!$B$8:$B$19))*(ISNUMBER(SEARCH($AB$18,Dienstplan!$EY$8:$GB$19)))))</f>
        <v>0</v>
      </c>
      <c r="S84" s="308">
        <f>SUMPRODUCT((ISNUMBER(SEARCH($Y3,Dienstplan!$B$8:$B$19))*(ISNUMBER(SEARCH($AB$19,Dienstplan!$EY$8:$GB$19)))))</f>
        <v>0</v>
      </c>
      <c r="T84" s="302">
        <f t="shared" ref="T84:T94" si="37">SUM($F$82*$Z3)</f>
        <v>168</v>
      </c>
      <c r="U84" s="330">
        <f>SUM($C84*Frueh_1+$D84*Spaet_1+$E84*Nacht_1+$F84*Normal_1+$I84*Sonderd_1-$J84*Velten+$K84*Velten+$L84*EH_Kurs+$M84*Koor_taet+$N84*Sekre_1+$O84*Velten+$R84*Velten+$P84*Velten+$Q84*Velten+G84*Velt_M+H84*Velt_M)</f>
        <v>46.5</v>
      </c>
      <c r="V84" s="308">
        <f t="shared" ref="V84:V94" si="38">SUM($U84-$T84)</f>
        <v>-121.5</v>
      </c>
      <c r="W84" s="318">
        <f t="shared" ref="W84:W94" si="39">V84+W68</f>
        <v>-330.5</v>
      </c>
    </row>
    <row r="85" ht="12.75" customHeight="1">
      <c r="A85" s="308"/>
      <c r="B85" s="329" t="str">
        <f t="shared" si="36"/>
        <v>Siebert</v>
      </c>
      <c r="C85" s="302">
        <f>SUMPRODUCT((ISNUMBER(SEARCH($Y4,Dienstplan!$B$8:$B$19))*(ISNUMBER(SEARCH($AB$3,Dienstplan!$EY$8:$GB$19)))))-D85</f>
        <v>0</v>
      </c>
      <c r="D85" s="302">
        <f>SUMPRODUCT((ISNUMBER(SEARCH($Y4,Dienstplan!$B$8:$B$19))*(ISNUMBER(SEARCH($AB$4,Dienstplan!$EY$8:$GB$19)))))</f>
        <v>0</v>
      </c>
      <c r="E85" s="302">
        <f>SUMPRODUCT((ISNUMBER(SEARCH($Y4,Dienstplan!$B$8:$B$19))*(ISNUMBER(SEARCH($AB$5,Dienstplan!$EY$8:$GB$19)))))</f>
        <v>5</v>
      </c>
      <c r="F85" s="302">
        <f>SUMPRODUCT((ISNUMBER(SEARCH($Y4,Dienstplan!$B$8:$B$19))*(ISNUMBER(SEARCH($AB$6,Dienstplan!$EY$8:$GB$19)))))</f>
        <v>2</v>
      </c>
      <c r="G85" s="302">
        <f>SUMPRODUCT((ISNUMBER(SEARCH($Y4,Dienstplan!$B$8:$B$19))*(ISNUMBER(SEARCH($AB$7,Dienstplan!$EY$8:$GB$19)))))-H85</f>
        <v>0</v>
      </c>
      <c r="H85" s="302">
        <f>SUMPRODUCT((ISNUMBER(SEARCH($Y4,Dienstplan!$B$8:$B$19))*(ISNUMBER(SEARCH($AB$8,Dienstplan!$EY$8:$GB$19)))))</f>
        <v>0</v>
      </c>
      <c r="I85" s="302">
        <f>SUMPRODUCT((ISNUMBER(SEARCH($Y4,Dienstplan!$B$8:$B$19))*(ISNUMBER(SEARCH($AB$9,Dienstplan!$EY$8:$GB$19)))))</f>
        <v>0</v>
      </c>
      <c r="J85" s="302">
        <f>SUMPRODUCT((ISNUMBER(SEARCH($Y4,Dienstplan!$B$8:$B$19))*(ISNUMBER(SEARCH($AB$10,Dienstplan!$EY$8:$GB$19)))))</f>
        <v>0</v>
      </c>
      <c r="K85" s="302">
        <f>SUMPRODUCT((ISNUMBER(SEARCH($Y4,Dienstplan!$B$8:$B$19))*(ISNUMBER(SEARCH($AB$11,Dienstplan!$EY$8:$GB$19)))))-$Q85</f>
        <v>2</v>
      </c>
      <c r="L85" s="302">
        <f>SUMPRODUCT((ISNUMBER(SEARCH($Y4,Dienstplan!$B$8:$B$19))*(ISNUMBER(SEARCH($AB$12,Dienstplan!$EY$8:$GB$19)))))</f>
        <v>0</v>
      </c>
      <c r="M85" s="302">
        <f>SUMPRODUCT((ISNUMBER(SEARCH($Y4,Dienstplan!$B$8:$B$19))*(ISNUMBER(SEARCH($AB$13,Dienstplan!$EY$8:$GB$19)))))</f>
        <v>0</v>
      </c>
      <c r="N85" s="302">
        <f>SUMPRODUCT((ISNUMBER(SEARCH($Y4,Dienstplan!$B$8:$B$19))*(ISNUMBER(SEARCH($AB$14,Dienstplan!$EY$8:$GB$19)))))</f>
        <v>0</v>
      </c>
      <c r="O85" s="302">
        <f>SUMPRODUCT((ISNUMBER(SEARCH($Y4,Dienstplan!$B$8:$B$19))*(ISNUMBER(SEARCH($AB$15,Dienstplan!$EY$8:$GB$19)))))</f>
        <v>0</v>
      </c>
      <c r="P85" s="302">
        <f>SUMPRODUCT((ISNUMBER(SEARCH($Y4,Dienstplan!$B$8:$B$19))*(ISNUMBER(SEARCH($AB$16,Dienstplan!$EY$8:$GB$19)))))</f>
        <v>0</v>
      </c>
      <c r="Q85" s="302">
        <f>SUMPRODUCT((ISNUMBER(SEARCH($Y4,Dienstplan!$B$8:$B$19))*(ISNUMBER(SEARCH($AB$17,Dienstplan!$EY$8:$GB$19)))))</f>
        <v>0</v>
      </c>
      <c r="R85" s="302">
        <f>SUMPRODUCT((ISNUMBER(SEARCH($Y4,Dienstplan!$B$8:$B$19))*(ISNUMBER(SEARCH($AB$18,Dienstplan!$EY$8:$GB$19)))))</f>
        <v>0</v>
      </c>
      <c r="S85" s="308">
        <f>SUMPRODUCT((ISNUMBER(SEARCH($Y4,Dienstplan!$B$8:$B$19))*(ISNUMBER(SEARCH($AB$19,Dienstplan!$EY$8:$GB$19)))))</f>
        <v>1</v>
      </c>
      <c r="T85" s="302">
        <f t="shared" si="37"/>
        <v>147</v>
      </c>
      <c r="U85" s="330">
        <f>SUM($C85*Frueh_1+$D85*Spaet_1+$E85*Nacht_1+$F85*Normal_1+$I85*Sonderd_1-$J85*Brue_H+$K85*Brue_H+$L85*EH_Kurs+$M85*Koor_taet+$N85*Sekre_1+$O85*Brue_H+$R85*Brue_H+$P85*Brue_H+$Q85*Brue_H+G85*Brue_H+H85*Brue_H)</f>
        <v>66.5</v>
      </c>
      <c r="V85" s="308">
        <f t="shared" si="38"/>
        <v>-80.5</v>
      </c>
      <c r="W85" s="318">
        <f t="shared" si="39"/>
        <v>-249.75</v>
      </c>
    </row>
    <row r="86" ht="12.75" customHeight="1">
      <c r="A86" s="308"/>
      <c r="B86" s="329" t="str">
        <f t="shared" si="36"/>
        <v>Jochim</v>
      </c>
      <c r="C86" s="302">
        <f>SUMPRODUCT((ISNUMBER(SEARCH($Y5,Dienstplan!$B$8:$B$19))*(ISNUMBER(SEARCH($AB$3,Dienstplan!$EY$8:$GB$19)))))-D86</f>
        <v>0</v>
      </c>
      <c r="D86" s="302">
        <f>SUMPRODUCT((ISNUMBER(SEARCH($Y5,Dienstplan!$B$8:$B$19))*(ISNUMBER(SEARCH($AB$4,Dienstplan!$EY$8:$GB$19)))))</f>
        <v>0</v>
      </c>
      <c r="E86" s="302">
        <f>SUMPRODUCT((ISNUMBER(SEARCH($Y5,Dienstplan!$B$8:$B$19))*(ISNUMBER(SEARCH($AB$5,Dienstplan!$EY$8:$GB$19)))))</f>
        <v>0</v>
      </c>
      <c r="F86" s="302">
        <f>SUMPRODUCT((ISNUMBER(SEARCH($Y5,Dienstplan!$B$8:$B$19))*(ISNUMBER(SEARCH($AB$6,Dienstplan!$EY$8:$GB$19)))))</f>
        <v>0</v>
      </c>
      <c r="G86" s="302">
        <f>SUMPRODUCT((ISNUMBER(SEARCH($Y5,Dienstplan!$B$8:$B$19))*(ISNUMBER(SEARCH($AB$7,Dienstplan!$EY$8:$GB$19)))))-H86</f>
        <v>0</v>
      </c>
      <c r="H86" s="302">
        <f>SUMPRODUCT((ISNUMBER(SEARCH($Y5,Dienstplan!$B$8:$B$19))*(ISNUMBER(SEARCH($AB$8,Dienstplan!$EY$8:$GB$19)))))</f>
        <v>0</v>
      </c>
      <c r="I86" s="302">
        <f>SUMPRODUCT((ISNUMBER(SEARCH($Y5,Dienstplan!$B$8:$B$19))*(ISNUMBER(SEARCH($AB$9,Dienstplan!$EY$8:$GB$19)))))</f>
        <v>0</v>
      </c>
      <c r="J86" s="302">
        <f>SUMPRODUCT((ISNUMBER(SEARCH($Y5,Dienstplan!$B$8:$B$19))*(ISNUMBER(SEARCH($AB$10,Dienstplan!$EY$8:$GB$19)))))</f>
        <v>0</v>
      </c>
      <c r="K86" s="302">
        <f>SUMPRODUCT((ISNUMBER(SEARCH($Y5,Dienstplan!$B$8:$B$19))*(ISNUMBER(SEARCH($AB$11,Dienstplan!$EY$8:$GB$19)))))-$Q86</f>
        <v>0</v>
      </c>
      <c r="L86" s="302">
        <f>SUMPRODUCT((ISNUMBER(SEARCH($Y5,Dienstplan!$B$8:$B$19))*(ISNUMBER(SEARCH($AB$12,Dienstplan!$EY$8:$GB$19)))))</f>
        <v>0</v>
      </c>
      <c r="M86" s="302">
        <f>SUMPRODUCT((ISNUMBER(SEARCH($Y5,Dienstplan!$B$8:$B$19))*(ISNUMBER(SEARCH($AB$13,Dienstplan!$EY$8:$GB$19)))))</f>
        <v>0</v>
      </c>
      <c r="N86" s="302">
        <f>SUMPRODUCT((ISNUMBER(SEARCH($Y5,Dienstplan!$B$8:$B$19))*(ISNUMBER(SEARCH($AB$14,Dienstplan!$EY$8:$GB$19)))))</f>
        <v>0</v>
      </c>
      <c r="O86" s="302">
        <f>SUMPRODUCT((ISNUMBER(SEARCH($Y5,Dienstplan!$B$8:$B$19))*(ISNUMBER(SEARCH($AB$15,Dienstplan!$EY$8:$GB$19)))))</f>
        <v>0</v>
      </c>
      <c r="P86" s="302">
        <f>SUMPRODUCT((ISNUMBER(SEARCH($Y5,Dienstplan!$B$8:$B$19))*(ISNUMBER(SEARCH($AB$16,Dienstplan!$EY$8:$GB$19)))))</f>
        <v>0</v>
      </c>
      <c r="Q86" s="302">
        <f>SUMPRODUCT((ISNUMBER(SEARCH($Y5,Dienstplan!$B$8:$B$19))*(ISNUMBER(SEARCH($AB$17,Dienstplan!$EY$8:$GB$19)))))</f>
        <v>0</v>
      </c>
      <c r="R86" s="302">
        <f>SUMPRODUCT((ISNUMBER(SEARCH($Y5,Dienstplan!$B$8:$B$19))*(ISNUMBER(SEARCH($AB$18,Dienstplan!$EY$8:$GB$19)))))</f>
        <v>0</v>
      </c>
      <c r="S86" s="308">
        <f>SUMPRODUCT((ISNUMBER(SEARCH($Y5,Dienstplan!$B$8:$B$19))*(ISNUMBER(SEARCH($AB$19,Dienstplan!$EY$8:$GB$19)))))</f>
        <v>0</v>
      </c>
      <c r="T86" s="302">
        <f t="shared" si="37"/>
        <v>147</v>
      </c>
      <c r="U86" s="330">
        <f>SUM($C86*Frueh_1+$D86*Spaet_1+$E86*Nacht_1+$F86*Normal_1+$I86*Sonderd_1-$J86*Rath_M+$K86*Rath_M+$L86*EH_Kurs+$M86*Koor_taet+$N86*Sekre_1+$O86*Rath_M+$R86*Rath_M+$P86*Rath_M+$Q86*Rath_M+G86*Rath_M+H86*Rath_M)</f>
        <v>0</v>
      </c>
      <c r="V86" s="308">
        <f t="shared" si="38"/>
        <v>-147</v>
      </c>
      <c r="W86" s="318">
        <f t="shared" si="39"/>
        <v>-726.75</v>
      </c>
    </row>
    <row r="87" ht="12.75" customHeight="1">
      <c r="A87" s="308"/>
      <c r="B87" s="329" t="str">
        <f t="shared" si="36"/>
        <v>Wunsch</v>
      </c>
      <c r="C87" s="302">
        <f>SUMPRODUCT((ISNUMBER(SEARCH($Y6,Dienstplan!$B$8:$B$19))*(ISNUMBER(SEARCH($AB$3,Dienstplan!$EY$8:$GB$19)))))-D87</f>
        <v>0</v>
      </c>
      <c r="D87" s="302">
        <f>SUMPRODUCT((ISNUMBER(SEARCH($Y6,Dienstplan!$B$8:$B$19))*(ISNUMBER(SEARCH($AB$4,Dienstplan!$EY$8:$GB$19)))))</f>
        <v>0</v>
      </c>
      <c r="E87" s="302">
        <f>SUMPRODUCT((ISNUMBER(SEARCH($Y6,Dienstplan!$B$8:$B$19))*(ISNUMBER(SEARCH($AB$5,Dienstplan!$EY$8:$GB$19)))))</f>
        <v>3</v>
      </c>
      <c r="F87" s="302">
        <f>SUMPRODUCT((ISNUMBER(SEARCH($Y6,Dienstplan!$B$8:$B$19))*(ISNUMBER(SEARCH($AB$6,Dienstplan!$EY$8:$GB$19)))))</f>
        <v>0</v>
      </c>
      <c r="G87" s="302">
        <f>SUMPRODUCT((ISNUMBER(SEARCH($Y6,Dienstplan!$B$8:$B$19))*(ISNUMBER(SEARCH($AB$7,Dienstplan!$EY$8:$GB$19)))))-H87</f>
        <v>0</v>
      </c>
      <c r="H87" s="302">
        <f>SUMPRODUCT((ISNUMBER(SEARCH($Y6,Dienstplan!$B$8:$B$19))*(ISNUMBER(SEARCH($AB$8,Dienstplan!$EY$8:$GB$19)))))</f>
        <v>0</v>
      </c>
      <c r="I87" s="302">
        <f>SUMPRODUCT((ISNUMBER(SEARCH($Y6,Dienstplan!$B$8:$B$19))*(ISNUMBER(SEARCH($AB$9,Dienstplan!$EY$8:$GB$19)))))</f>
        <v>0</v>
      </c>
      <c r="J87" s="302">
        <f>SUMPRODUCT((ISNUMBER(SEARCH($Y6,Dienstplan!$B$8:$B$19))*(ISNUMBER(SEARCH($AB$10,Dienstplan!$EY$8:$GB$19)))))</f>
        <v>0</v>
      </c>
      <c r="K87" s="302">
        <f>SUMPRODUCT((ISNUMBER(SEARCH($Y6,Dienstplan!$B$8:$B$19))*(ISNUMBER(SEARCH($AB$11,Dienstplan!$EY$8:$GB$19)))))-$Q87</f>
        <v>6</v>
      </c>
      <c r="L87" s="302">
        <f>SUMPRODUCT((ISNUMBER(SEARCH($Y6,Dienstplan!$B$8:$B$19))*(ISNUMBER(SEARCH($AB$12,Dienstplan!$EY$8:$GB$19)))))</f>
        <v>0</v>
      </c>
      <c r="M87" s="302">
        <f>SUMPRODUCT((ISNUMBER(SEARCH($Y6,Dienstplan!$B$8:$B$19))*(ISNUMBER(SEARCH($AB$13,Dienstplan!$EY$8:$GB$19)))))</f>
        <v>0</v>
      </c>
      <c r="N87" s="302">
        <f>SUMPRODUCT((ISNUMBER(SEARCH($Y6,Dienstplan!$B$8:$B$19))*(ISNUMBER(SEARCH($AB$14,Dienstplan!$EY$8:$GB$19)))))</f>
        <v>0</v>
      </c>
      <c r="O87" s="302">
        <f>SUMPRODUCT((ISNUMBER(SEARCH($Y6,Dienstplan!$B$8:$B$19))*(ISNUMBER(SEARCH($AB$15,Dienstplan!$EY$8:$GB$19)))))</f>
        <v>0</v>
      </c>
      <c r="P87" s="302">
        <f>SUMPRODUCT((ISNUMBER(SEARCH($Y6,Dienstplan!$B$8:$B$19))*(ISNUMBER(SEARCH($AB$16,Dienstplan!$EY$8:$GB$19)))))</f>
        <v>0</v>
      </c>
      <c r="Q87" s="302">
        <f>SUMPRODUCT((ISNUMBER(SEARCH($Y6,Dienstplan!$B$8:$B$19))*(ISNUMBER(SEARCH($AB$17,Dienstplan!$EY$8:$GB$19)))))</f>
        <v>0</v>
      </c>
      <c r="R87" s="302">
        <f>SUMPRODUCT((ISNUMBER(SEARCH($Y6,Dienstplan!$B$8:$B$19))*(ISNUMBER(SEARCH($AB$18,Dienstplan!$EY$8:$GB$19)))))</f>
        <v>0</v>
      </c>
      <c r="S87" s="308">
        <f>SUMPRODUCT((ISNUMBER(SEARCH($Y6,Dienstplan!$B$8:$B$19))*(ISNUMBER(SEARCH($AB$19,Dienstplan!$EY$8:$GB$19)))))</f>
        <v>0</v>
      </c>
      <c r="T87" s="302">
        <f t="shared" si="37"/>
        <v>168</v>
      </c>
      <c r="U87" s="330">
        <f>SUM($C87*Frueh_1+$D87*Spaet_1+$E87*Nacht_1+$F87*Normal_1+$I87*Sonderd_1-$J87*Scho_K+$K87*Scho_K+$L87*EH_Kurs+$M87*Koor_taet+$N87*Sekre_1+$O87*Scho_K+$R87*Scho_K+$P87*Scho_K+$Q87*Scho_K+G87*Scho_K+H87*Scho_K)</f>
        <v>70.5</v>
      </c>
      <c r="V87" s="308">
        <f t="shared" si="38"/>
        <v>-97.5</v>
      </c>
      <c r="W87" s="318">
        <f t="shared" si="39"/>
        <v>-373.5</v>
      </c>
    </row>
    <row r="88" ht="12.75" customHeight="1">
      <c r="A88" s="308"/>
      <c r="B88" s="329" t="str">
        <f t="shared" si="36"/>
        <v>Göpfrich</v>
      </c>
      <c r="C88" s="302">
        <f>SUMPRODUCT((ISNUMBER(SEARCH($Y7,Dienstplan!$B$8:$B$19))*(ISNUMBER(SEARCH($AB$3,Dienstplan!$EY$8:$GB$19)))))-D88</f>
        <v>0</v>
      </c>
      <c r="D88" s="302">
        <f>SUMPRODUCT((ISNUMBER(SEARCH($Y7,Dienstplan!$B$8:$B$19))*(ISNUMBER(SEARCH($AB$4,Dienstplan!$EY$8:$GB$19)))))</f>
        <v>0</v>
      </c>
      <c r="E88" s="302">
        <f>SUMPRODUCT((ISNUMBER(SEARCH($Y7,Dienstplan!$B$8:$B$19))*(ISNUMBER(SEARCH($AB$5,Dienstplan!$EY$8:$GB$19)))))</f>
        <v>5</v>
      </c>
      <c r="F88" s="302">
        <f>SUMPRODUCT((ISNUMBER(SEARCH($Y7,Dienstplan!$B$8:$B$19))*(ISNUMBER(SEARCH($AB$6,Dienstplan!$EY$8:$GB$19)))))</f>
        <v>5</v>
      </c>
      <c r="G88" s="302">
        <f>SUMPRODUCT((ISNUMBER(SEARCH($Y7,Dienstplan!$B$8:$B$19))*(ISNUMBER(SEARCH($AB$7,Dienstplan!$EY$8:$GB$19)))))-H88</f>
        <v>0</v>
      </c>
      <c r="H88" s="302">
        <f>SUMPRODUCT((ISNUMBER(SEARCH($Y7,Dienstplan!$B$8:$B$19))*(ISNUMBER(SEARCH($AB$8,Dienstplan!$EY$8:$GB$19)))))</f>
        <v>0</v>
      </c>
      <c r="I88" s="302">
        <f>SUMPRODUCT((ISNUMBER(SEARCH($Y7,Dienstplan!$B$8:$B$19))*(ISNUMBER(SEARCH($AB$9,Dienstplan!$EY$8:$GB$19)))))</f>
        <v>0</v>
      </c>
      <c r="J88" s="302">
        <f>SUMPRODUCT((ISNUMBER(SEARCH($Y7,Dienstplan!$B$8:$B$19))*(ISNUMBER(SEARCH($AB$10,Dienstplan!$EY$8:$GB$19)))))</f>
        <v>0</v>
      </c>
      <c r="K88" s="302">
        <f>SUMPRODUCT((ISNUMBER(SEARCH($Y7,Dienstplan!$B$8:$B$19))*(ISNUMBER(SEARCH($AB$11,Dienstplan!$EY$8:$GB$19)))))-$Q88</f>
        <v>0</v>
      </c>
      <c r="L88" s="302">
        <f>SUMPRODUCT((ISNUMBER(SEARCH($Y7,Dienstplan!$B$8:$B$19))*(ISNUMBER(SEARCH($AB$12,Dienstplan!$EY$8:$GB$19)))))</f>
        <v>0</v>
      </c>
      <c r="M88" s="302">
        <f>SUMPRODUCT((ISNUMBER(SEARCH($Y7,Dienstplan!$B$8:$B$19))*(ISNUMBER(SEARCH($AB$13,Dienstplan!$EY$8:$GB$19)))))</f>
        <v>0</v>
      </c>
      <c r="N88" s="302">
        <f>SUMPRODUCT((ISNUMBER(SEARCH($Y7,Dienstplan!$B$8:$B$19))*(ISNUMBER(SEARCH($AB$14,Dienstplan!$EY$8:$GB$19)))))</f>
        <v>0</v>
      </c>
      <c r="O88" s="302">
        <f>SUMPRODUCT((ISNUMBER(SEARCH($Y7,Dienstplan!$B$8:$B$19))*(ISNUMBER(SEARCH($AB$15,Dienstplan!$EY$8:$GB$19)))))</f>
        <v>3</v>
      </c>
      <c r="P88" s="302">
        <f>SUMPRODUCT((ISNUMBER(SEARCH($Y7,Dienstplan!$B$8:$B$19))*(ISNUMBER(SEARCH($AB$16,Dienstplan!$EY$8:$GB$19)))))</f>
        <v>0</v>
      </c>
      <c r="Q88" s="302">
        <f>SUMPRODUCT((ISNUMBER(SEARCH($Y7,Dienstplan!$B$8:$B$19))*(ISNUMBER(SEARCH($AB$17,Dienstplan!$EY$8:$GB$19)))))</f>
        <v>0</v>
      </c>
      <c r="R88" s="302">
        <f>SUMPRODUCT((ISNUMBER(SEARCH($Y7,Dienstplan!$B$8:$B$19))*(ISNUMBER(SEARCH($AB$18,Dienstplan!$EY$8:$GB$19)))))</f>
        <v>0</v>
      </c>
      <c r="S88" s="308">
        <f>SUMPRODUCT((ISNUMBER(SEARCH($Y7,Dienstplan!$B$8:$B$19))*(ISNUMBER(SEARCH($AB$19,Dienstplan!$EY$8:$GB$19)))))</f>
        <v>1</v>
      </c>
      <c r="T88" s="302">
        <f t="shared" si="37"/>
        <v>147</v>
      </c>
      <c r="U88" s="330">
        <f>SUM($C88*Frueh_1+$D88*Spaet_1+$E88*Nacht_1+$F88*Normal_1+$I88*Sonderd_1-$J88*Krie_B+$K88*Krie_B+$L88*EH_Kurs+$M88*Koor_taet+$N88*Sekre_1+$O88*Krie_B+$R88*Krie_B+$P88*Krie_B+$Q88*Krie_B+G88*Krie_B+H88*Krie_B)</f>
        <v>96</v>
      </c>
      <c r="V88" s="308">
        <f t="shared" si="38"/>
        <v>-51</v>
      </c>
      <c r="W88" s="318">
        <f t="shared" si="39"/>
        <v>-189.75</v>
      </c>
    </row>
    <row r="89" ht="12.75" customHeight="1">
      <c r="A89" s="308"/>
      <c r="B89" s="329" t="str">
        <f t="shared" si="36"/>
        <v>Zeller</v>
      </c>
      <c r="C89" s="302">
        <f>SUMPRODUCT((ISNUMBER(SEARCH($Y8,Dienstplan!$B$8:$B$19))*(ISNUMBER(SEARCH($AB$3,Dienstplan!$EY$8:$GB$19)))))-D89</f>
        <v>0</v>
      </c>
      <c r="D89" s="302">
        <f>SUMPRODUCT((ISNUMBER(SEARCH($Y8,Dienstplan!$B$8:$B$19))*(ISNUMBER(SEARCH($AB$4,Dienstplan!$EY$8:$GB$19)))))</f>
        <v>0</v>
      </c>
      <c r="E89" s="302">
        <f>SUMPRODUCT((ISNUMBER(SEARCH($Y8,Dienstplan!$B$8:$B$19))*(ISNUMBER(SEARCH($AB$5,Dienstplan!$EY$8:$GB$19)))))</f>
        <v>2</v>
      </c>
      <c r="F89" s="302">
        <f>SUMPRODUCT((ISNUMBER(SEARCH($Y8,Dienstplan!$B$8:$B$19))*(ISNUMBER(SEARCH($AB$6,Dienstplan!$EY$8:$GB$19)))))</f>
        <v>5</v>
      </c>
      <c r="G89" s="302">
        <f>SUMPRODUCT((ISNUMBER(SEARCH($Y8,Dienstplan!$B$8:$B$19))*(ISNUMBER(SEARCH($AB$7,Dienstplan!$EY$8:$GB$19)))))-H89</f>
        <v>0</v>
      </c>
      <c r="H89" s="302">
        <f>SUMPRODUCT((ISNUMBER(SEARCH($Y8,Dienstplan!$B$8:$B$19))*(ISNUMBER(SEARCH($AB$8,Dienstplan!$EY$8:$GB$19)))))</f>
        <v>0</v>
      </c>
      <c r="I89" s="302">
        <f>SUMPRODUCT((ISNUMBER(SEARCH($Y8,Dienstplan!$B$8:$B$19))*(ISNUMBER(SEARCH($AB$9,Dienstplan!$EY$8:$GB$19)))))</f>
        <v>0</v>
      </c>
      <c r="J89" s="302">
        <f>SUMPRODUCT((ISNUMBER(SEARCH($Y8,Dienstplan!$B$8:$B$19))*(ISNUMBER(SEARCH($AB$10,Dienstplan!$EY$8:$GB$19)))))</f>
        <v>0</v>
      </c>
      <c r="K89" s="302">
        <f>SUMPRODUCT((ISNUMBER(SEARCH($Y8,Dienstplan!$B$8:$B$19))*(ISNUMBER(SEARCH($AB$11,Dienstplan!$EY$8:$GB$19)))))-$Q89</f>
        <v>0</v>
      </c>
      <c r="L89" s="302">
        <f>SUMPRODUCT((ISNUMBER(SEARCH($Y8,Dienstplan!$B$8:$B$19))*(ISNUMBER(SEARCH($AB$12,Dienstplan!$EY$8:$GB$19)))))</f>
        <v>0</v>
      </c>
      <c r="M89" s="302">
        <f>SUMPRODUCT((ISNUMBER(SEARCH($Y8,Dienstplan!$B$8:$B$19))*(ISNUMBER(SEARCH($AB$13,Dienstplan!$EY$8:$GB$19)))))</f>
        <v>0</v>
      </c>
      <c r="N89" s="302">
        <f>SUMPRODUCT((ISNUMBER(SEARCH($Y8,Dienstplan!$B$8:$B$19))*(ISNUMBER(SEARCH($AB$14,Dienstplan!$EY$8:$GB$19)))))</f>
        <v>0</v>
      </c>
      <c r="O89" s="302">
        <f>SUMPRODUCT((ISNUMBER(SEARCH($Y8,Dienstplan!$B$8:$B$19))*(ISNUMBER(SEARCH($AB$15,Dienstplan!$EY$8:$GB$19)))))</f>
        <v>0</v>
      </c>
      <c r="P89" s="302">
        <f>SUMPRODUCT((ISNUMBER(SEARCH($Y8,Dienstplan!$B$8:$B$19))*(ISNUMBER(SEARCH($AB$16,Dienstplan!$EY$8:$GB$19)))))</f>
        <v>0</v>
      </c>
      <c r="Q89" s="302">
        <f>SUMPRODUCT((ISNUMBER(SEARCH($Y8,Dienstplan!$B$8:$B$19))*(ISNUMBER(SEARCH($AB$17,Dienstplan!$EY$8:$GB$19)))))</f>
        <v>0</v>
      </c>
      <c r="R89" s="302">
        <f>SUMPRODUCT((ISNUMBER(SEARCH($Y8,Dienstplan!$B$8:$B$19))*(ISNUMBER(SEARCH($AB$18,Dienstplan!$EY$8:$GB$19)))))</f>
        <v>0</v>
      </c>
      <c r="S89" s="308">
        <f>SUMPRODUCT((ISNUMBER(SEARCH($Y8,Dienstplan!$B$8:$B$19))*(ISNUMBER(SEARCH($AB$19,Dienstplan!$EY$8:$GB$19)))))</f>
        <v>1</v>
      </c>
      <c r="T89" s="302">
        <f t="shared" si="37"/>
        <v>168</v>
      </c>
      <c r="U89" s="330">
        <f>SUM($C89*Frueh_1+$D89*Spaet_1+$E89*Nacht_1+$F89*Normal_1+$I89*Sonderd_1-$J89*Muster+$K89*Muster+$L89*EH_Kurs+$M89*Koor_taet+$N89*Sekre_1+$O89*Muster+$P89*Muster+$Q89*Muster+$R89*Muster+G89*Muster+H89*Muster)</f>
        <v>52.5</v>
      </c>
      <c r="V89" s="308">
        <f t="shared" si="38"/>
        <v>-115.5</v>
      </c>
      <c r="W89" s="318">
        <f t="shared" si="39"/>
        <v>-352.25</v>
      </c>
    </row>
    <row r="90" ht="12.75" customHeight="1">
      <c r="A90" s="308"/>
      <c r="B90" s="329" t="str">
        <f t="shared" si="36"/>
        <v>Behrendt</v>
      </c>
      <c r="C90" s="302">
        <f>SUMPRODUCT((ISNUMBER(SEARCH($Y9,Dienstplan!$B$8:$B$19))*(ISNUMBER(SEARCH($AB$3,Dienstplan!$EY$8:$GB$19)))))-D90</f>
        <v>0</v>
      </c>
      <c r="D90" s="302">
        <f>SUMPRODUCT((ISNUMBER(SEARCH($Y9,Dienstplan!$B$8:$B$19))*(ISNUMBER(SEARCH($AB$4,Dienstplan!$EY$8:$GB$19)))))</f>
        <v>0</v>
      </c>
      <c r="E90" s="302">
        <f>SUMPRODUCT((ISNUMBER(SEARCH($Y9,Dienstplan!$B$8:$B$19))*(ISNUMBER(SEARCH($AB$5,Dienstplan!$EY$8:$GB$19)))))</f>
        <v>5</v>
      </c>
      <c r="F90" s="302">
        <f>SUMPRODUCT((ISNUMBER(SEARCH($Y9,Dienstplan!$B$8:$B$19))*(ISNUMBER(SEARCH($AB$6,Dienstplan!$EY$8:$GB$19)))))</f>
        <v>5</v>
      </c>
      <c r="G90" s="302">
        <f>SUMPRODUCT((ISNUMBER(SEARCH($Y9,Dienstplan!$B$8:$B$19))*(ISNUMBER(SEARCH($AB$7,Dienstplan!$EY$8:$GB$19)))))-H90</f>
        <v>0</v>
      </c>
      <c r="H90" s="302">
        <f>SUMPRODUCT((ISNUMBER(SEARCH($Y9,Dienstplan!$B$8:$B$19))*(ISNUMBER(SEARCH($AB$8,Dienstplan!$EY$8:$GB$19)))))</f>
        <v>0</v>
      </c>
      <c r="I90" s="302">
        <f>SUMPRODUCT((ISNUMBER(SEARCH($Y9,Dienstplan!$B$8:$B$19))*(ISNUMBER(SEARCH($AB$9,Dienstplan!$EY$8:$GB$19)))))</f>
        <v>0</v>
      </c>
      <c r="J90" s="302">
        <f>SUMPRODUCT((ISNUMBER(SEARCH($Y9,Dienstplan!$B$8:$B$19))*(ISNUMBER(SEARCH($AB$10,Dienstplan!$EY$8:$GB$19)))))</f>
        <v>0</v>
      </c>
      <c r="K90" s="302">
        <f>SUMPRODUCT((ISNUMBER(SEARCH($Y9,Dienstplan!$B$8:$B$19))*(ISNUMBER(SEARCH($AB$11,Dienstplan!$EY$8:$GB$19)))))-$Q90</f>
        <v>0</v>
      </c>
      <c r="L90" s="302">
        <f>SUMPRODUCT((ISNUMBER(SEARCH($Y9,Dienstplan!$B$8:$B$19))*(ISNUMBER(SEARCH($AB$12,Dienstplan!$EY$8:$GB$19)))))</f>
        <v>0</v>
      </c>
      <c r="M90" s="302">
        <f>SUMPRODUCT((ISNUMBER(SEARCH($Y9,Dienstplan!$B$8:$B$19))*(ISNUMBER(SEARCH($AB$13,Dienstplan!$EY$8:$GB$19)))))</f>
        <v>0</v>
      </c>
      <c r="N90" s="302">
        <f>SUMPRODUCT((ISNUMBER(SEARCH($Y9,Dienstplan!$B$8:$B$19))*(ISNUMBER(SEARCH($AB$14,Dienstplan!$EY$8:$GB$19)))))</f>
        <v>0</v>
      </c>
      <c r="O90" s="302">
        <f>SUMPRODUCT((ISNUMBER(SEARCH($Y9,Dienstplan!$B$8:$B$19))*(ISNUMBER(SEARCH($AB$15,Dienstplan!$EY$8:$GB$19)))))</f>
        <v>0</v>
      </c>
      <c r="P90" s="302">
        <f>SUMPRODUCT((ISNUMBER(SEARCH($Y9,Dienstplan!$B$8:$B$19))*(ISNUMBER(SEARCH($AB$16,Dienstplan!$EY$8:$GB$19)))))</f>
        <v>0</v>
      </c>
      <c r="Q90" s="302">
        <f>SUMPRODUCT((ISNUMBER(SEARCH($Y9,Dienstplan!$B$8:$B$19))*(ISNUMBER(SEARCH($AB$17,Dienstplan!$EY$8:$GB$19)))))</f>
        <v>0</v>
      </c>
      <c r="R90" s="302">
        <f>SUMPRODUCT((ISNUMBER(SEARCH($Y9,Dienstplan!$B$8:$B$19))*(ISNUMBER(SEARCH($AB$18,Dienstplan!$EY$8:$GB$19)))))</f>
        <v>0</v>
      </c>
      <c r="S90" s="308">
        <f>SUMPRODUCT((ISNUMBER(SEARCH($Y9,Dienstplan!$B$8:$B$19))*(ISNUMBER(SEARCH($AB$19,Dienstplan!$EY$8:$GB$19)))))</f>
        <v>1</v>
      </c>
      <c r="T90" s="302">
        <f t="shared" si="37"/>
        <v>147</v>
      </c>
      <c r="U90" s="330">
        <f>SUM($C90*Frueh_1+$D90*Spaet_1+$E90*Nacht_1+$F90*Normal_1+$I90*Sonderd_1-$J90*Muster+$K90*Muster+$L90*EH_Kurs+$M90*Koor_taet+$N90*Sekre_1+$O90*Muster+$P90*Muster+$Q90*Muster+$R90*Muster+G90*Muster+H90*Muster)</f>
        <v>75</v>
      </c>
      <c r="V90" s="308">
        <f t="shared" si="38"/>
        <v>-72</v>
      </c>
      <c r="W90" s="318">
        <f t="shared" si="39"/>
        <v>-383.95</v>
      </c>
    </row>
    <row r="91" ht="12.75" customHeight="1">
      <c r="A91" s="308"/>
      <c r="B91" s="329" t="str">
        <f t="shared" si="36"/>
        <v>Krempl</v>
      </c>
      <c r="C91" s="302">
        <f>SUMPRODUCT((ISNUMBER(SEARCH($Y10,Dienstplan!$B$8:$B$19))*(ISNUMBER(SEARCH($AB$3,Dienstplan!$EY$8:$GB$19)))))-D91</f>
        <v>0</v>
      </c>
      <c r="D91" s="302">
        <f>SUMPRODUCT((ISNUMBER(SEARCH($Y10,Dienstplan!$B$8:$B$19))*(ISNUMBER(SEARCH($AB$4,Dienstplan!$EY$8:$GB$19)))))</f>
        <v>0</v>
      </c>
      <c r="E91" s="302">
        <f>SUMPRODUCT((ISNUMBER(SEARCH($Y10,Dienstplan!$B$8:$B$19))*(ISNUMBER(SEARCH($AB$5,Dienstplan!$EY$8:$GB$19)))))</f>
        <v>0</v>
      </c>
      <c r="F91" s="302">
        <f>SUMPRODUCT((ISNUMBER(SEARCH($Y10,Dienstplan!$B$8:$B$19))*(ISNUMBER(SEARCH($AB$6,Dienstplan!$EY$8:$GB$19)))))</f>
        <v>0</v>
      </c>
      <c r="G91" s="302">
        <f>SUMPRODUCT((ISNUMBER(SEARCH($Y10,Dienstplan!$B$8:$B$19))*(ISNUMBER(SEARCH($AB$7,Dienstplan!$EY$8:$GB$19)))))-H91</f>
        <v>0</v>
      </c>
      <c r="H91" s="302">
        <f>SUMPRODUCT((ISNUMBER(SEARCH($Y10,Dienstplan!$B$8:$B$19))*(ISNUMBER(SEARCH($AB$8,Dienstplan!$EY$8:$GB$19)))))</f>
        <v>0</v>
      </c>
      <c r="I91" s="302">
        <f>SUMPRODUCT((ISNUMBER(SEARCH($Y10,Dienstplan!$B$8:$B$19))*(ISNUMBER(SEARCH($AB$9,Dienstplan!$EY$8:$GB$19)))))</f>
        <v>0</v>
      </c>
      <c r="J91" s="302">
        <f>SUMPRODUCT((ISNUMBER(SEARCH($Y10,Dienstplan!$B$8:$B$19))*(ISNUMBER(SEARCH($AB$10,Dienstplan!$EY$8:$GB$19)))))</f>
        <v>0</v>
      </c>
      <c r="K91" s="302">
        <f>SUMPRODUCT((ISNUMBER(SEARCH($Y10,Dienstplan!$B$8:$B$19))*(ISNUMBER(SEARCH($AB$11,Dienstplan!$EY$8:$GB$19)))))-$Q91</f>
        <v>3</v>
      </c>
      <c r="L91" s="302">
        <f>SUMPRODUCT((ISNUMBER(SEARCH($Y10,Dienstplan!$B$8:$B$19))*(ISNUMBER(SEARCH($AB$12,Dienstplan!$EY$8:$GB$19)))))</f>
        <v>0</v>
      </c>
      <c r="M91" s="302">
        <f>SUMPRODUCT((ISNUMBER(SEARCH($Y10,Dienstplan!$B$8:$B$19))*(ISNUMBER(SEARCH($AB$13,Dienstplan!$EY$8:$GB$19)))))</f>
        <v>0</v>
      </c>
      <c r="N91" s="302">
        <f>SUMPRODUCT((ISNUMBER(SEARCH($Y10,Dienstplan!$B$8:$B$19))*(ISNUMBER(SEARCH($AB$14,Dienstplan!$EY$8:$GB$19)))))</f>
        <v>0</v>
      </c>
      <c r="O91" s="302">
        <f>SUMPRODUCT((ISNUMBER(SEARCH($Y10,Dienstplan!$B$8:$B$19))*(ISNUMBER(SEARCH($AB$15,Dienstplan!$EY$8:$GB$19)))))</f>
        <v>3</v>
      </c>
      <c r="P91" s="302">
        <f>SUMPRODUCT((ISNUMBER(SEARCH($Y10,Dienstplan!$B$8:$B$19))*(ISNUMBER(SEARCH($AB$16,Dienstplan!$EY$8:$GB$19)))))</f>
        <v>0</v>
      </c>
      <c r="Q91" s="302">
        <f>SUMPRODUCT((ISNUMBER(SEARCH($Y10,Dienstplan!$B$8:$B$19))*(ISNUMBER(SEARCH($AB$17,Dienstplan!$EY$8:$GB$19)))))</f>
        <v>0</v>
      </c>
      <c r="R91" s="302">
        <f>SUMPRODUCT((ISNUMBER(SEARCH($Y10,Dienstplan!$B$8:$B$19))*(ISNUMBER(SEARCH($AB$18,Dienstplan!$EY$8:$GB$19)))))</f>
        <v>0</v>
      </c>
      <c r="S91" s="308">
        <f>SUMPRODUCT((ISNUMBER(SEARCH($Y10,Dienstplan!$B$8:$B$19))*(ISNUMBER(SEARCH($AB$19,Dienstplan!$EY$8:$GB$19)))))</f>
        <v>0</v>
      </c>
      <c r="T91" s="302">
        <f t="shared" si="37"/>
        <v>67.2</v>
      </c>
      <c r="U91" s="330">
        <f>SUM($C91*Frueh_1+$D91*Spaet_1+$E91*Nacht_1+$F91*Normal_1+$I91*Sonderd_1-$J91*Krem_E+$K91*Krem_E+$L91*EH_Kurs+$M91*Koor_taet+$N91*Sekre_1+$O91*Krem_E+$R91*Krem_E+$P91*Krem_E+$Q91*Krem_E+G91*Krem_E+H91*Krem_E)</f>
        <v>19.2</v>
      </c>
      <c r="V91" s="308">
        <f t="shared" si="38"/>
        <v>-48</v>
      </c>
      <c r="W91" s="318">
        <f t="shared" si="39"/>
        <v>-291.1</v>
      </c>
    </row>
    <row r="92" ht="12.75" customHeight="1">
      <c r="A92" s="308"/>
      <c r="B92" s="329" t="str">
        <f t="shared" si="36"/>
        <v>Putschler</v>
      </c>
      <c r="C92" s="302">
        <f>SUMPRODUCT((ISNUMBER(SEARCH($Y11,Dienstplan!$B$8:$B$19))*(ISNUMBER(SEARCH($AB$3,Dienstplan!$EY$8:$GB$19)))))-D92</f>
        <v>0</v>
      </c>
      <c r="D92" s="302">
        <f>SUMPRODUCT((ISNUMBER(SEARCH($Y11,Dienstplan!$B$8:$B$19))*(ISNUMBER(SEARCH($AB$4,Dienstplan!$EY$8:$GB$19)))))</f>
        <v>0</v>
      </c>
      <c r="E92" s="302">
        <f>SUMPRODUCT((ISNUMBER(SEARCH($Y11,Dienstplan!$B$8:$B$19))*(ISNUMBER(SEARCH($AB$5,Dienstplan!$EY$8:$GB$19)))))</f>
        <v>0</v>
      </c>
      <c r="F92" s="302">
        <f>SUMPRODUCT((ISNUMBER(SEARCH($Y11,Dienstplan!$B$8:$B$19))*(ISNUMBER(SEARCH($AB$6,Dienstplan!$EY$8:$GB$19)))))</f>
        <v>0</v>
      </c>
      <c r="G92" s="302">
        <f>SUMPRODUCT((ISNUMBER(SEARCH($Y11,Dienstplan!$B$8:$B$19))*(ISNUMBER(SEARCH($AB$7,Dienstplan!$EY$8:$GB$19)))))-H92</f>
        <v>0</v>
      </c>
      <c r="H92" s="302">
        <f>SUMPRODUCT((ISNUMBER(SEARCH($Y11,Dienstplan!$B$8:$B$19))*(ISNUMBER(SEARCH($AB$8,Dienstplan!$EY$8:$GB$19)))))</f>
        <v>0</v>
      </c>
      <c r="I92" s="302">
        <f>SUMPRODUCT((ISNUMBER(SEARCH($Y11,Dienstplan!$B$8:$B$19))*(ISNUMBER(SEARCH($AB$9,Dienstplan!$EY$8:$GB$19)))))</f>
        <v>0</v>
      </c>
      <c r="J92" s="302">
        <f>SUMPRODUCT((ISNUMBER(SEARCH($Y11,Dienstplan!$B$8:$B$19))*(ISNUMBER(SEARCH($AB$10,Dienstplan!$EY$8:$GB$19)))))</f>
        <v>0</v>
      </c>
      <c r="K92" s="302">
        <f>SUMPRODUCT((ISNUMBER(SEARCH($Y11,Dienstplan!$B$8:$B$19))*(ISNUMBER(SEARCH($AB$11,Dienstplan!$EY$8:$GB$19)))))-$Q92</f>
        <v>1</v>
      </c>
      <c r="L92" s="302">
        <f>SUMPRODUCT((ISNUMBER(SEARCH($Y11,Dienstplan!$B$8:$B$19))*(ISNUMBER(SEARCH($AB$12,Dienstplan!$EY$8:$GB$19)))))</f>
        <v>0</v>
      </c>
      <c r="M92" s="302">
        <f>SUMPRODUCT((ISNUMBER(SEARCH($Y11,Dienstplan!$B$8:$B$19))*(ISNUMBER(SEARCH($AB$13,Dienstplan!$EY$8:$GB$19)))))</f>
        <v>0</v>
      </c>
      <c r="N92" s="302">
        <f>SUMPRODUCT((ISNUMBER(SEARCH($Y11,Dienstplan!$B$8:$B$19))*(ISNUMBER(SEARCH($AB$14,Dienstplan!$EY$8:$GB$19)))))</f>
        <v>0</v>
      </c>
      <c r="O92" s="302">
        <f>SUMPRODUCT((ISNUMBER(SEARCH($Y11,Dienstplan!$B$8:$B$19))*(ISNUMBER(SEARCH($AB$15,Dienstplan!$EY$8:$GB$19)))))</f>
        <v>0</v>
      </c>
      <c r="P92" s="302">
        <f>SUMPRODUCT((ISNUMBER(SEARCH($Y11,Dienstplan!$B$8:$B$19))*(ISNUMBER(SEARCH($AB$16,Dienstplan!$EY$8:$GB$19)))))</f>
        <v>0</v>
      </c>
      <c r="Q92" s="302">
        <f>SUMPRODUCT((ISNUMBER(SEARCH($Y11,Dienstplan!$B$8:$B$19))*(ISNUMBER(SEARCH($AB$17,Dienstplan!$EY$8:$GB$19)))))</f>
        <v>0</v>
      </c>
      <c r="R92" s="302">
        <f>SUMPRODUCT((ISNUMBER(SEARCH($Y11,Dienstplan!$B$8:$B$19))*(ISNUMBER(SEARCH($AB$18,Dienstplan!$EY$8:$GB$19)))))</f>
        <v>0</v>
      </c>
      <c r="S92" s="308">
        <f>SUMPRODUCT((ISNUMBER(SEARCH($Y11,Dienstplan!$B$8:$B$19))*(ISNUMBER(SEARCH($AB$19,Dienstplan!$EY$8:$GB$19)))))</f>
        <v>0</v>
      </c>
      <c r="T92" s="302">
        <f t="shared" si="37"/>
        <v>168</v>
      </c>
      <c r="U92" s="330">
        <f>SUM($C92*Frueh_1+$D92*Spaet_1+$E92*Nacht_1+$F92*Normal_1+$I92*Sonderd_1-$J92*Put_W+$K92*Put_W+$L92*EH_Kurs+$M92*Koor_taet+$N92*Sekre_1+$O92*Put_W+$R92*Put_W+$P92*Put_W+$Q92*Put_W+G92*Put_W+H92*Put_W)</f>
        <v>8</v>
      </c>
      <c r="V92" s="308">
        <f t="shared" si="38"/>
        <v>-160</v>
      </c>
      <c r="W92" s="318">
        <f t="shared" si="39"/>
        <v>-496</v>
      </c>
    </row>
    <row r="93" ht="12.75" customHeight="1">
      <c r="A93" s="308"/>
      <c r="B93" s="329" t="str">
        <f t="shared" si="36"/>
        <v>Schmidt</v>
      </c>
      <c r="C93" s="302">
        <f>SUMPRODUCT((ISNUMBER(SEARCH($Y12,Dienstplan!$B$8:$B$19))*(ISNUMBER(SEARCH($AB$3,Dienstplan!$EY$8:$GB$19)))))-D93</f>
        <v>0</v>
      </c>
      <c r="D93" s="302">
        <f>SUMPRODUCT((ISNUMBER(SEARCH($Y12,Dienstplan!$B$8:$B$19))*(ISNUMBER(SEARCH($AB$4,Dienstplan!$EY$8:$GB$19)))))</f>
        <v>0</v>
      </c>
      <c r="E93" s="302">
        <f>SUMPRODUCT((ISNUMBER(SEARCH($Y12,Dienstplan!$B$8:$B$19))*(ISNUMBER(SEARCH($AB$5,Dienstplan!$EY$8:$GB$19)))))</f>
        <v>0</v>
      </c>
      <c r="F93" s="302">
        <f>SUMPRODUCT((ISNUMBER(SEARCH($Y12,Dienstplan!$B$8:$B$19))*(ISNUMBER(SEARCH($AB$6,Dienstplan!$EY$8:$GB$19)))))</f>
        <v>0</v>
      </c>
      <c r="G93" s="302">
        <f>SUMPRODUCT((ISNUMBER(SEARCH($Y12,Dienstplan!$B$8:$B$19))*(ISNUMBER(SEARCH($AB$7,Dienstplan!$EY$8:$GB$19)))))-H93</f>
        <v>0</v>
      </c>
      <c r="H93" s="302">
        <f>SUMPRODUCT((ISNUMBER(SEARCH($Y12,Dienstplan!$B$8:$B$19))*(ISNUMBER(SEARCH($AB$8,Dienstplan!$EY$8:$GB$19)))))</f>
        <v>0</v>
      </c>
      <c r="I93" s="302">
        <f>SUMPRODUCT((ISNUMBER(SEARCH($Y12,Dienstplan!$B$8:$B$19))*(ISNUMBER(SEARCH($AB$9,Dienstplan!$EY$8:$GB$19)))))</f>
        <v>0</v>
      </c>
      <c r="J93" s="302">
        <f>SUMPRODUCT((ISNUMBER(SEARCH($Y12,Dienstplan!$B$8:$B$19))*(ISNUMBER(SEARCH($AB$10,Dienstplan!$EY$8:$GB$19)))))</f>
        <v>0</v>
      </c>
      <c r="K93" s="302">
        <f>SUMPRODUCT((ISNUMBER(SEARCH($Y12,Dienstplan!$B$8:$B$19))*(ISNUMBER(SEARCH($AB$11,Dienstplan!$EY$8:$GB$19)))))-$Q93</f>
        <v>7</v>
      </c>
      <c r="L93" s="302">
        <f>SUMPRODUCT((ISNUMBER(SEARCH($Y12,Dienstplan!$B$8:$B$19))*(ISNUMBER(SEARCH($AB$12,Dienstplan!$EY$8:$GB$19)))))</f>
        <v>0</v>
      </c>
      <c r="M93" s="302">
        <f>SUMPRODUCT((ISNUMBER(SEARCH($Y12,Dienstplan!$B$8:$B$19))*(ISNUMBER(SEARCH($AB$13,Dienstplan!$EY$8:$GB$19)))))</f>
        <v>0</v>
      </c>
      <c r="N93" s="302">
        <f>SUMPRODUCT((ISNUMBER(SEARCH($Y12,Dienstplan!$B$8:$B$19))*(ISNUMBER(SEARCH($AB$14,Dienstplan!$EY$8:$GB$19)))))</f>
        <v>0</v>
      </c>
      <c r="O93" s="302">
        <f>SUMPRODUCT((ISNUMBER(SEARCH($Y12,Dienstplan!$B$8:$B$19))*(ISNUMBER(SEARCH($AB$15,Dienstplan!$EY$8:$GB$19)))))</f>
        <v>0</v>
      </c>
      <c r="P93" s="302">
        <f>SUMPRODUCT((ISNUMBER(SEARCH($Y12,Dienstplan!$B$8:$B$19))*(ISNUMBER(SEARCH($AB$16,Dienstplan!$EY$8:$GB$19)))))</f>
        <v>0</v>
      </c>
      <c r="Q93" s="302">
        <f>SUMPRODUCT((ISNUMBER(SEARCH($Y12,Dienstplan!$B$8:$B$19))*(ISNUMBER(SEARCH($AB$17,Dienstplan!$EY$8:$GB$19)))))</f>
        <v>0</v>
      </c>
      <c r="R93" s="302">
        <f>SUMPRODUCT((ISNUMBER(SEARCH($Y12,Dienstplan!$B$8:$B$19))*(ISNUMBER(SEARCH($AB$18,Dienstplan!$EY$8:$GB$19)))))</f>
        <v>0</v>
      </c>
      <c r="S93" s="308">
        <f>SUMPRODUCT((ISNUMBER(SEARCH($Y12,Dienstplan!$B$8:$B$19))*(ISNUMBER(SEARCH($AB$19,Dienstplan!$EY$8:$GB$19)))))</f>
        <v>0</v>
      </c>
      <c r="T93" s="302">
        <f t="shared" si="37"/>
        <v>147</v>
      </c>
      <c r="U93" s="330">
        <f>SUM($C93*Frueh_1+$D93*Spaet_1+$E93*Nacht_1+$F93*Normal_1+$I93*Sonderd_1-$J93*Radi_L+$K93*Radi_L+$L93*EH_Kurs+$M93*Koor_taet+$N93*Sekre_1+$O93*Radi_L+$R93*Radi_L+$P93*Radi_L+$Q93*Radi_L+G93*Radi_L+H93*Radi_L)</f>
        <v>49</v>
      </c>
      <c r="V93" s="308">
        <f t="shared" si="38"/>
        <v>-98</v>
      </c>
      <c r="W93" s="318">
        <f t="shared" si="39"/>
        <v>-756</v>
      </c>
    </row>
    <row r="94" ht="12.75" customHeight="1">
      <c r="A94" s="308"/>
      <c r="B94" s="329" t="str">
        <f t="shared" si="36"/>
        <v>Radimersky</v>
      </c>
      <c r="C94" s="302">
        <f>SUMPRODUCT((ISNUMBER(SEARCH($Y13,Dienstplan!$B$8:$B$19))*(ISNUMBER(SEARCH($AB$3,Dienstplan!$EY$8:$GB$19)))))-D94</f>
        <v>0</v>
      </c>
      <c r="D94" s="302">
        <f>SUMPRODUCT((ISNUMBER(SEARCH($Y13,Dienstplan!$B$8:$B$19))*(ISNUMBER(SEARCH($AB$4,Dienstplan!$EY$8:$GB$19)))))</f>
        <v>0</v>
      </c>
      <c r="E94" s="302">
        <f>SUMPRODUCT((ISNUMBER(SEARCH($Y13,Dienstplan!$B$8:$B$19))*(ISNUMBER(SEARCH($AB$5,Dienstplan!$EY$8:$GB$19)))))</f>
        <v>0</v>
      </c>
      <c r="F94" s="302">
        <f>SUMPRODUCT((ISNUMBER(SEARCH($Y13,Dienstplan!$B$8:$B$19))*(ISNUMBER(SEARCH($AB$6,Dienstplan!$EY$8:$GB$19)))))</f>
        <v>0</v>
      </c>
      <c r="G94" s="302">
        <f>SUMPRODUCT((ISNUMBER(SEARCH($Y13,Dienstplan!$B$8:$B$19))*(ISNUMBER(SEARCH($AB$7,Dienstplan!$EY$8:$GB$19)))))-H94</f>
        <v>0</v>
      </c>
      <c r="H94" s="302">
        <f>SUMPRODUCT((ISNUMBER(SEARCH($Y13,Dienstplan!$B$8:$B$19))*(ISNUMBER(SEARCH($AB$8,Dienstplan!$EY$8:$GB$19)))))</f>
        <v>0</v>
      </c>
      <c r="I94" s="302">
        <f>SUMPRODUCT((ISNUMBER(SEARCH($Y13,Dienstplan!$B$8:$B$19))*(ISNUMBER(SEARCH($AB$9,Dienstplan!$EY$8:$GB$19)))))</f>
        <v>0</v>
      </c>
      <c r="J94" s="302">
        <f>SUMPRODUCT((ISNUMBER(SEARCH($Y13,Dienstplan!$B$8:$B$19))*(ISNUMBER(SEARCH($AB$10,Dienstplan!$EY$8:$GB$19)))))</f>
        <v>0</v>
      </c>
      <c r="K94" s="302">
        <f>SUMPRODUCT((ISNUMBER(SEARCH($Y13,Dienstplan!$B$8:$B$19))*(ISNUMBER(SEARCH($AB$11,Dienstplan!$EY$8:$GB$19)))))-$Q94</f>
        <v>2</v>
      </c>
      <c r="L94" s="302">
        <f>SUMPRODUCT((ISNUMBER(SEARCH($Y13,Dienstplan!$B$8:$B$19))*(ISNUMBER(SEARCH($AB$12,Dienstplan!$EY$8:$GB$19)))))</f>
        <v>0</v>
      </c>
      <c r="M94" s="302">
        <f>SUMPRODUCT((ISNUMBER(SEARCH($Y13,Dienstplan!$B$8:$B$19))*(ISNUMBER(SEARCH($AB$13,Dienstplan!$EY$8:$GB$19)))))</f>
        <v>0</v>
      </c>
      <c r="N94" s="302">
        <f>SUMPRODUCT((ISNUMBER(SEARCH($Y13,Dienstplan!$B$8:$B$19))*(ISNUMBER(SEARCH($AB$14,Dienstplan!$EY$8:$GB$19)))))</f>
        <v>0</v>
      </c>
      <c r="O94" s="302">
        <f>SUMPRODUCT((ISNUMBER(SEARCH($Y13,Dienstplan!$B$8:$B$19))*(ISNUMBER(SEARCH($AB$15,Dienstplan!$EY$8:$GB$19)))))</f>
        <v>0</v>
      </c>
      <c r="P94" s="302">
        <f>SUMPRODUCT((ISNUMBER(SEARCH($Y13,Dienstplan!$B$8:$B$19))*(ISNUMBER(SEARCH($AB$16,Dienstplan!$EY$8:$GB$19)))))</f>
        <v>0</v>
      </c>
      <c r="Q94" s="302">
        <f>SUMPRODUCT((ISNUMBER(SEARCH($Y13,Dienstplan!$B$8:$B$19))*(ISNUMBER(SEARCH($AB$17,Dienstplan!$EY$8:$GB$19)))))</f>
        <v>0</v>
      </c>
      <c r="R94" s="302">
        <f>SUMPRODUCT((ISNUMBER(SEARCH($Y13,Dienstplan!$B$8:$B$19))*(ISNUMBER(SEARCH($AB$18,Dienstplan!$EY$8:$GB$19)))))</f>
        <v>0</v>
      </c>
      <c r="S94" s="308">
        <f>SUMPRODUCT((ISNUMBER(SEARCH($Y13,Dienstplan!$B$8:$B$19))*(ISNUMBER(SEARCH($AB$19,Dienstplan!$EY$8:$GB$19)))))</f>
        <v>0</v>
      </c>
      <c r="T94" s="302">
        <f t="shared" si="37"/>
        <v>63</v>
      </c>
      <c r="U94" s="330">
        <f>SUM($C94*Frueh_1+$D94*Spaet_1+$E94*Nacht_1+$F94*Normal_1+$I94*Sonderd_1-$J94*Fortenb+$K94*Fortenb+$L94*EH_Kurs+$M94*Koor_taet+$N94*Sekre_1+$O94*Fortenb+$R94*Fortenb+$P94*Fortenb+$Q94*Fortenb+G94*Fortenb+H94*Fortenb)</f>
        <v>6</v>
      </c>
      <c r="V94" s="308">
        <f t="shared" si="38"/>
        <v>-57</v>
      </c>
      <c r="W94" s="318">
        <f t="shared" si="39"/>
        <v>-324</v>
      </c>
    </row>
    <row r="95" ht="12.75" customHeight="1">
      <c r="A95" s="308"/>
      <c r="B95" s="329"/>
      <c r="S95" s="308"/>
      <c r="V95" s="308"/>
      <c r="W95" s="318"/>
    </row>
    <row r="96" ht="12.75" customHeight="1">
      <c r="A96" s="308"/>
      <c r="B96" s="329" t="s">
        <v>134</v>
      </c>
      <c r="C96" s="303">
        <f t="shared" ref="C96:S96" si="40">SUM(C84:C95)</f>
        <v>0</v>
      </c>
      <c r="D96" s="303">
        <f t="shared" si="40"/>
        <v>0</v>
      </c>
      <c r="E96" s="303">
        <f t="shared" si="40"/>
        <v>20</v>
      </c>
      <c r="F96" s="303">
        <f t="shared" si="40"/>
        <v>20</v>
      </c>
      <c r="G96" s="303">
        <f t="shared" si="40"/>
        <v>0</v>
      </c>
      <c r="H96" s="303">
        <f t="shared" si="40"/>
        <v>0</v>
      </c>
      <c r="I96" s="303">
        <f t="shared" si="40"/>
        <v>0</v>
      </c>
      <c r="J96" s="303">
        <f t="shared" si="40"/>
        <v>0</v>
      </c>
      <c r="K96" s="303">
        <f t="shared" si="40"/>
        <v>24</v>
      </c>
      <c r="L96" s="303">
        <f t="shared" si="40"/>
        <v>0</v>
      </c>
      <c r="M96" s="303">
        <f t="shared" si="40"/>
        <v>0</v>
      </c>
      <c r="N96" s="303">
        <f t="shared" si="40"/>
        <v>0</v>
      </c>
      <c r="O96" s="303">
        <f t="shared" si="40"/>
        <v>6</v>
      </c>
      <c r="P96" s="303">
        <f t="shared" si="40"/>
        <v>0</v>
      </c>
      <c r="Q96" s="303">
        <f t="shared" si="40"/>
        <v>0</v>
      </c>
      <c r="R96" s="303">
        <f t="shared" si="40"/>
        <v>0</v>
      </c>
      <c r="S96" s="323">
        <f t="shared" si="40"/>
        <v>4</v>
      </c>
      <c r="T96" s="303">
        <f t="shared" ref="T96:U96" si="41">SUM(T84:T92)</f>
        <v>1327.2</v>
      </c>
      <c r="U96" s="303">
        <f t="shared" si="41"/>
        <v>434.2</v>
      </c>
      <c r="V96" s="323"/>
      <c r="W96" s="324"/>
    </row>
    <row r="97" ht="12.75" customHeight="1">
      <c r="A97" s="308"/>
      <c r="B97" s="309"/>
      <c r="C97" s="300"/>
      <c r="D97" s="300"/>
      <c r="E97" s="300"/>
      <c r="F97" s="300"/>
      <c r="G97" s="300"/>
      <c r="H97" s="300"/>
      <c r="I97" s="300"/>
      <c r="J97" s="300"/>
      <c r="K97" s="300"/>
      <c r="L97" s="300"/>
      <c r="M97" s="300"/>
      <c r="N97" s="300"/>
      <c r="O97" s="300"/>
      <c r="P97" s="300"/>
      <c r="Q97" s="300"/>
      <c r="R97" s="300"/>
      <c r="S97" s="309"/>
      <c r="T97" s="300"/>
      <c r="U97" s="300"/>
      <c r="V97" s="309"/>
      <c r="W97" s="310"/>
    </row>
    <row r="98" ht="12.75" customHeight="1">
      <c r="A98" s="308"/>
      <c r="B98" s="312" t="s">
        <v>163</v>
      </c>
      <c r="D98" s="313" t="s">
        <v>136</v>
      </c>
      <c r="E98" s="314"/>
      <c r="F98" s="315">
        <v>21.0</v>
      </c>
      <c r="G98" s="316"/>
      <c r="H98" s="317"/>
      <c r="I98" s="313" t="s">
        <v>137</v>
      </c>
      <c r="J98" s="314"/>
      <c r="K98" s="315">
        <v>5.0</v>
      </c>
      <c r="S98" s="308"/>
      <c r="V98" s="308"/>
      <c r="W98" s="318"/>
    </row>
    <row r="99" ht="12.75" customHeight="1">
      <c r="A99" s="308"/>
      <c r="B99" s="308"/>
      <c r="C99" s="303" t="str">
        <f>Jahr!C3</f>
        <v>FI</v>
      </c>
      <c r="D99" s="303" t="str">
        <f>Jahr!D3</f>
        <v>FII</v>
      </c>
      <c r="E99" s="303" t="str">
        <f>Jahr!E3</f>
        <v>SI</v>
      </c>
      <c r="F99" s="303" t="str">
        <f>Jahr!F3</f>
        <v>NI</v>
      </c>
      <c r="G99" s="303" t="str">
        <f>Jahr!G3</f>
        <v>DI</v>
      </c>
      <c r="H99" s="303" t="str">
        <f>Jahr!H3</f>
        <v>DII</v>
      </c>
      <c r="I99" s="303" t="str">
        <f>Jahr!I3</f>
        <v>SD</v>
      </c>
      <c r="J99" s="303" t="str">
        <f>Jahr!J3</f>
        <v>GT</v>
      </c>
      <c r="K99" s="303" t="str">
        <f>Jahr!K3</f>
        <v>U</v>
      </c>
      <c r="L99" s="303" t="str">
        <f>Jahr!L3</f>
        <v>EH</v>
      </c>
      <c r="M99" s="303" t="str">
        <f>Jahr!M3</f>
        <v>KT</v>
      </c>
      <c r="N99" s="303" t="str">
        <f>Jahr!N3</f>
        <v>Sek</v>
      </c>
      <c r="O99" s="303" t="str">
        <f>Jahr!O3</f>
        <v>Fobi</v>
      </c>
      <c r="P99" s="303" t="str">
        <f>Jahr!P3</f>
        <v>A</v>
      </c>
      <c r="Q99" s="303" t="str">
        <f>Jahr!Q3</f>
        <v>Kur</v>
      </c>
      <c r="R99" s="303" t="str">
        <f>Jahr!R3</f>
        <v>FZC</v>
      </c>
      <c r="S99" s="303" t="str">
        <f>Jahr!S3</f>
        <v>NST</v>
      </c>
      <c r="T99" s="358" t="s">
        <v>144</v>
      </c>
      <c r="U99" s="358" t="s">
        <v>145</v>
      </c>
      <c r="V99" s="323" t="s">
        <v>146</v>
      </c>
      <c r="W99" s="324" t="s">
        <v>147</v>
      </c>
    </row>
    <row r="100" ht="12.75" customHeight="1">
      <c r="A100" s="308"/>
      <c r="B100" s="329" t="str">
        <f t="shared" ref="B100:B110" si="42">B4</f>
        <v>Breig</v>
      </c>
      <c r="C100" s="302">
        <f>SUMPRODUCT((ISNUMBER(SEARCH($Y3,Dienstplan!$B$25:$B$36))*(ISNUMBER(SEARCH($AB$3,Dienstplan!$C$25:$AG$36)))))-D100</f>
        <v>0</v>
      </c>
      <c r="D100" s="302">
        <f>SUMPRODUCT((ISNUMBER(SEARCH($Y3,Dienstplan!$B$25:$B$36))*(ISNUMBER(SEARCH($AB$4,Dienstplan!$C$25:$AG$36)))))</f>
        <v>0</v>
      </c>
      <c r="E100" s="302">
        <f>SUMPRODUCT((ISNUMBER(SEARCH($Y3,Dienstplan!$B$25:$B$36))*(ISNUMBER(SEARCH($AB$5,Dienstplan!$C$25:$AG$36)))))</f>
        <v>0</v>
      </c>
      <c r="F100" s="302">
        <f>SUMPRODUCT((ISNUMBER(SEARCH($Y3,Dienstplan!$B$25:$B$36))*(ISNUMBER(SEARCH($AB$6,Dienstplan!$C$25:$AG$36)))))</f>
        <v>2</v>
      </c>
      <c r="G100" s="302">
        <f>SUMPRODUCT((ISNUMBER(SEARCH($Y3,Dienstplan!$B$25:$B$36))*(ISNUMBER(SEARCH($AB$7,Dienstplan!$C$25:$AG$36)))))-H100</f>
        <v>0</v>
      </c>
      <c r="H100" s="302">
        <f>SUMPRODUCT((ISNUMBER(SEARCH($Y3,Dienstplan!$B$25:$B$36))*(ISNUMBER(SEARCH($AB$8,Dienstplan!$C$25:$AG$36)))))</f>
        <v>0</v>
      </c>
      <c r="I100" s="302">
        <f>SUMPRODUCT((ISNUMBER(SEARCH($Y3,Dienstplan!$B$25:$B$36))*(ISNUMBER(SEARCH($AB$9,Dienstplan!$C$25:$AG$36)))))</f>
        <v>0</v>
      </c>
      <c r="J100" s="302">
        <f>SUMPRODUCT((ISNUMBER(SEARCH($Y3,Dienstplan!$B$25:$B$36))*(ISNUMBER(SEARCH($AB$10,Dienstplan!$C$25:$AG$36)))))</f>
        <v>0</v>
      </c>
      <c r="K100" s="302">
        <f>SUMPRODUCT((ISNUMBER(SEARCH($Y3,Dienstplan!$B$25:$B$36))*(ISNUMBER(SEARCH($AB$11,Dienstplan!$C$25:$AG$36)))))-$Q100</f>
        <v>5</v>
      </c>
      <c r="L100" s="302">
        <f>SUMPRODUCT((ISNUMBER(SEARCH($Y3,Dienstplan!$B$25:$B$36))*(ISNUMBER(SEARCH($AB$12,Dienstplan!$C$25:$AG$36)))))</f>
        <v>0</v>
      </c>
      <c r="M100" s="302">
        <f>SUMPRODUCT((ISNUMBER(SEARCH($Y3,Dienstplan!$B$25:$B$36))*(ISNUMBER(SEARCH($AB$13,Dienstplan!$C$25:$AG$36)))))</f>
        <v>0</v>
      </c>
      <c r="N100" s="302">
        <f>SUMPRODUCT((ISNUMBER(SEARCH($Y3,Dienstplan!$B$25:$B$36))*(ISNUMBER(SEARCH($AB$14,Dienstplan!$C$25:$AG$36)))))</f>
        <v>0</v>
      </c>
      <c r="O100" s="302">
        <f>SUMPRODUCT((ISNUMBER(SEARCH($Y3,Dienstplan!$B$25:$B$36))*(ISNUMBER(SEARCH($AB$15,Dienstplan!$C$25:$AG$36)))))</f>
        <v>0</v>
      </c>
      <c r="P100" s="302">
        <f>SUMPRODUCT((ISNUMBER(SEARCH($Y3,Dienstplan!$B$25:$B$36))*(ISNUMBER(SEARCH($AB$16,Dienstplan!$C$25:$AG$36)))))</f>
        <v>0</v>
      </c>
      <c r="Q100" s="302">
        <f>SUMPRODUCT((ISNUMBER(SEARCH($Y3,Dienstplan!$B$25:$B$36))*(ISNUMBER(SEARCH($AB$17,Dienstplan!$C$25:$AG$36)))))</f>
        <v>0</v>
      </c>
      <c r="R100" s="302">
        <f>SUMPRODUCT((ISNUMBER(SEARCH($Y3,Dienstplan!$B$25:$B$36))*(ISNUMBER(SEARCH($AB$18,Dienstplan!$C$25:$AG$36)))))</f>
        <v>0</v>
      </c>
      <c r="S100" s="308">
        <f>SUMPRODUCT((ISNUMBER(SEARCH($Y3,Dienstplan!$B$25:$B$36))*(ISNUMBER(SEARCH($AB$19,Dienstplan!$C$25:$AG$36)))))</f>
        <v>1</v>
      </c>
      <c r="T100" s="302">
        <f t="shared" ref="T100:T110" si="43">SUM($F$98*$Z3)</f>
        <v>168</v>
      </c>
      <c r="U100" s="330">
        <f>SUM($C100*Frueh_1+$D100*Spaet_1+$E100*Nacht_1+$F100*Normal_1+$I100*Sonderd_1-$J100*Velten+$K100*Velten+$L100*EH_Kurs+$M100*Koor_taet+$N100*Sekre_1+$O100*Velten+$R100*Velten+$P100*Velten+$Q100*Velten+G100*Velt_M+H100*Velt_M)</f>
        <v>55</v>
      </c>
      <c r="V100" s="308">
        <f t="shared" ref="V100:V110" si="44">SUM($U100-$T100)</f>
        <v>-113</v>
      </c>
      <c r="W100" s="318">
        <f t="shared" ref="W100:W110" si="45">V100+W84</f>
        <v>-443.5</v>
      </c>
    </row>
    <row r="101" ht="12.75" customHeight="1">
      <c r="A101" s="308"/>
      <c r="B101" s="329" t="str">
        <f t="shared" si="42"/>
        <v>Siebert</v>
      </c>
      <c r="C101" s="302">
        <f>SUMPRODUCT((ISNUMBER(SEARCH($Y4,Dienstplan!$B$25:$B$36))*(ISNUMBER(SEARCH($AB$3,Dienstplan!$C$25:$AG$36)))))-D101</f>
        <v>0</v>
      </c>
      <c r="D101" s="302">
        <f>SUMPRODUCT((ISNUMBER(SEARCH($Y4,Dienstplan!$B$25:$B$36))*(ISNUMBER(SEARCH($AB$4,Dienstplan!$C$25:$AG$36)))))</f>
        <v>0</v>
      </c>
      <c r="E101" s="302">
        <f>SUMPRODUCT((ISNUMBER(SEARCH($Y4,Dienstplan!$B$25:$B$36))*(ISNUMBER(SEARCH($AB$5,Dienstplan!$C$25:$AG$36)))))</f>
        <v>0</v>
      </c>
      <c r="F101" s="302">
        <f>SUMPRODUCT((ISNUMBER(SEARCH($Y4,Dienstplan!$B$25:$B$36))*(ISNUMBER(SEARCH($AB$6,Dienstplan!$C$25:$AG$36)))))</f>
        <v>5</v>
      </c>
      <c r="G101" s="302">
        <f>SUMPRODUCT((ISNUMBER(SEARCH($Y4,Dienstplan!$B$25:$B$36))*(ISNUMBER(SEARCH($AB$7,Dienstplan!$C$25:$AG$36)))))-H101</f>
        <v>0</v>
      </c>
      <c r="H101" s="302">
        <f>SUMPRODUCT((ISNUMBER(SEARCH($Y4,Dienstplan!$B$25:$B$36))*(ISNUMBER(SEARCH($AB$8,Dienstplan!$C$25:$AG$36)))))</f>
        <v>0</v>
      </c>
      <c r="I101" s="302">
        <f>SUMPRODUCT((ISNUMBER(SEARCH($Y4,Dienstplan!$B$25:$B$36))*(ISNUMBER(SEARCH($AB$9,Dienstplan!$C$25:$AG$36)))))</f>
        <v>0</v>
      </c>
      <c r="J101" s="302">
        <f>SUMPRODUCT((ISNUMBER(SEARCH($Y4,Dienstplan!$B$25:$B$36))*(ISNUMBER(SEARCH($AB$10,Dienstplan!$C$25:$AG$36)))))</f>
        <v>0</v>
      </c>
      <c r="K101" s="302">
        <f>SUMPRODUCT((ISNUMBER(SEARCH($Y4,Dienstplan!$B$25:$B$36))*(ISNUMBER(SEARCH($AB$11,Dienstplan!$C$25:$AG$36)))))-$Q101</f>
        <v>8</v>
      </c>
      <c r="L101" s="302">
        <f>SUMPRODUCT((ISNUMBER(SEARCH($Y4,Dienstplan!$B$25:$B$36))*(ISNUMBER(SEARCH($AB$12,Dienstplan!$C$25:$AG$36)))))</f>
        <v>0</v>
      </c>
      <c r="M101" s="302">
        <f>SUMPRODUCT((ISNUMBER(SEARCH($Y4,Dienstplan!$B$25:$B$36))*(ISNUMBER(SEARCH($AB$13,Dienstplan!$C$25:$AG$36)))))</f>
        <v>0</v>
      </c>
      <c r="N101" s="302">
        <f>SUMPRODUCT((ISNUMBER(SEARCH($Y4,Dienstplan!$B$25:$B$36))*(ISNUMBER(SEARCH($AB$14,Dienstplan!$C$25:$AG$36)))))</f>
        <v>0</v>
      </c>
      <c r="O101" s="302">
        <f>SUMPRODUCT((ISNUMBER(SEARCH($Y4,Dienstplan!$B$25:$B$36))*(ISNUMBER(SEARCH($AB$15,Dienstplan!$C$25:$AG$36)))))</f>
        <v>0</v>
      </c>
      <c r="P101" s="302">
        <f>SUMPRODUCT((ISNUMBER(SEARCH($Y4,Dienstplan!$B$25:$B$36))*(ISNUMBER(SEARCH($AB$16,Dienstplan!$C$25:$AG$36)))))</f>
        <v>0</v>
      </c>
      <c r="Q101" s="302">
        <f>SUMPRODUCT((ISNUMBER(SEARCH($Y4,Dienstplan!$B$25:$B$36))*(ISNUMBER(SEARCH($AB$17,Dienstplan!$C$25:$AG$36)))))</f>
        <v>0</v>
      </c>
      <c r="R101" s="302">
        <f>SUMPRODUCT((ISNUMBER(SEARCH($Y4,Dienstplan!$B$25:$B$36))*(ISNUMBER(SEARCH($AB$18,Dienstplan!$C$25:$AG$36)))))</f>
        <v>0</v>
      </c>
      <c r="S101" s="308">
        <f>SUMPRODUCT((ISNUMBER(SEARCH($Y4,Dienstplan!$B$25:$B$36))*(ISNUMBER(SEARCH($AB$19,Dienstplan!$C$25:$AG$36)))))</f>
        <v>1</v>
      </c>
      <c r="T101" s="302">
        <f t="shared" si="43"/>
        <v>147</v>
      </c>
      <c r="U101" s="330">
        <f>SUM($C101*Frueh_1+$D101*Spaet_1+$E101*Nacht_1+$F101*Normal_1+$I101*Sonderd_1-$J101*Brue_H+$K101*Brue_H+$L101*EH_Kurs+$M101*Koor_taet+$N101*Sekre_1+$O101*Brue_H+$R101*Brue_H+$P101*Brue_H+$Q101*Brue_H+G101*Brue_H+H101*Brue_H)</f>
        <v>93.5</v>
      </c>
      <c r="V101" s="308">
        <f t="shared" si="44"/>
        <v>-53.5</v>
      </c>
      <c r="W101" s="318">
        <f t="shared" si="45"/>
        <v>-303.25</v>
      </c>
    </row>
    <row r="102" ht="12.75" customHeight="1">
      <c r="A102" s="308"/>
      <c r="B102" s="329" t="str">
        <f t="shared" si="42"/>
        <v>Jochim</v>
      </c>
      <c r="C102" s="302">
        <f>SUMPRODUCT((ISNUMBER(SEARCH($Y5,Dienstplan!$B$25:$B$36))*(ISNUMBER(SEARCH($AB$3,Dienstplan!$C$25:$AG$36)))))-D102</f>
        <v>0</v>
      </c>
      <c r="D102" s="302">
        <f>SUMPRODUCT((ISNUMBER(SEARCH($Y5,Dienstplan!$B$25:$B$36))*(ISNUMBER(SEARCH($AB$4,Dienstplan!$C$25:$AG$36)))))</f>
        <v>0</v>
      </c>
      <c r="E102" s="302">
        <f>SUMPRODUCT((ISNUMBER(SEARCH($Y5,Dienstplan!$B$25:$B$36))*(ISNUMBER(SEARCH($AB$5,Dienstplan!$C$25:$AG$36)))))</f>
        <v>0</v>
      </c>
      <c r="F102" s="302">
        <f>SUMPRODUCT((ISNUMBER(SEARCH($Y5,Dienstplan!$B$25:$B$36))*(ISNUMBER(SEARCH($AB$6,Dienstplan!$C$25:$AG$36)))))</f>
        <v>0</v>
      </c>
      <c r="G102" s="302">
        <f>SUMPRODUCT((ISNUMBER(SEARCH($Y5,Dienstplan!$B$25:$B$36))*(ISNUMBER(SEARCH($AB$7,Dienstplan!$C$25:$AG$36)))))-H102</f>
        <v>0</v>
      </c>
      <c r="H102" s="302">
        <f>SUMPRODUCT((ISNUMBER(SEARCH($Y5,Dienstplan!$B$25:$B$36))*(ISNUMBER(SEARCH($AB$8,Dienstplan!$C$25:$AG$36)))))</f>
        <v>0</v>
      </c>
      <c r="I102" s="302">
        <f>SUMPRODUCT((ISNUMBER(SEARCH($Y5,Dienstplan!$B$25:$B$36))*(ISNUMBER(SEARCH($AB$9,Dienstplan!$C$25:$AG$36)))))</f>
        <v>0</v>
      </c>
      <c r="J102" s="302">
        <f>SUMPRODUCT((ISNUMBER(SEARCH($Y5,Dienstplan!$B$25:$B$36))*(ISNUMBER(SEARCH($AB$10,Dienstplan!$C$25:$AG$36)))))</f>
        <v>0</v>
      </c>
      <c r="K102" s="302">
        <f>SUMPRODUCT((ISNUMBER(SEARCH($Y5,Dienstplan!$B$25:$B$36))*(ISNUMBER(SEARCH($AB$11,Dienstplan!$C$25:$AG$36)))))-$Q102</f>
        <v>0</v>
      </c>
      <c r="L102" s="302">
        <f>SUMPRODUCT((ISNUMBER(SEARCH($Y5,Dienstplan!$B$25:$B$36))*(ISNUMBER(SEARCH($AB$12,Dienstplan!$C$25:$AG$36)))))</f>
        <v>0</v>
      </c>
      <c r="M102" s="302">
        <f>SUMPRODUCT((ISNUMBER(SEARCH($Y5,Dienstplan!$B$25:$B$36))*(ISNUMBER(SEARCH($AB$13,Dienstplan!$C$25:$AG$36)))))</f>
        <v>0</v>
      </c>
      <c r="N102" s="302">
        <f>SUMPRODUCT((ISNUMBER(SEARCH($Y5,Dienstplan!$B$25:$B$36))*(ISNUMBER(SEARCH($AB$14,Dienstplan!$C$25:$AG$36)))))</f>
        <v>0</v>
      </c>
      <c r="O102" s="302">
        <f>SUMPRODUCT((ISNUMBER(SEARCH($Y5,Dienstplan!$B$25:$B$36))*(ISNUMBER(SEARCH($AB$15,Dienstplan!$C$25:$AG$36)))))</f>
        <v>0</v>
      </c>
      <c r="P102" s="302">
        <f>SUMPRODUCT((ISNUMBER(SEARCH($Y5,Dienstplan!$B$25:$B$36))*(ISNUMBER(SEARCH($AB$16,Dienstplan!$C$25:$AG$36)))))</f>
        <v>0</v>
      </c>
      <c r="Q102" s="302">
        <f>SUMPRODUCT((ISNUMBER(SEARCH($Y5,Dienstplan!$B$25:$B$36))*(ISNUMBER(SEARCH($AB$17,Dienstplan!$C$25:$AG$36)))))</f>
        <v>0</v>
      </c>
      <c r="R102" s="302">
        <f>SUMPRODUCT((ISNUMBER(SEARCH($Y5,Dienstplan!$B$25:$B$36))*(ISNUMBER(SEARCH($AB$18,Dienstplan!$C$25:$AG$36)))))</f>
        <v>0</v>
      </c>
      <c r="S102" s="308">
        <f>SUMPRODUCT((ISNUMBER(SEARCH($Y5,Dienstplan!$B$25:$B$36))*(ISNUMBER(SEARCH($AB$19,Dienstplan!$C$25:$AG$36)))))</f>
        <v>0</v>
      </c>
      <c r="T102" s="302">
        <f t="shared" si="43"/>
        <v>147</v>
      </c>
      <c r="U102" s="330">
        <f>SUM($C102*Frueh_1+$D102*Spaet_1+$E102*Nacht_1+$F102*Normal_1+$I102*Sonderd_1-$J102*Rath_M+$K102*Rath_M+$L102*EH_Kurs+$M102*Koor_taet+$N102*Sekre_1+$O102*Rath_M+$R102*Rath_M+$P102*Rath_M+$Q102*Rath_M+G102*Rath_M+H102*Rath_M)</f>
        <v>0</v>
      </c>
      <c r="V102" s="308">
        <f t="shared" si="44"/>
        <v>-147</v>
      </c>
      <c r="W102" s="318">
        <f t="shared" si="45"/>
        <v>-873.75</v>
      </c>
    </row>
    <row r="103" ht="12.75" customHeight="1">
      <c r="A103" s="308"/>
      <c r="B103" s="329" t="str">
        <f t="shared" si="42"/>
        <v>Wunsch</v>
      </c>
      <c r="C103" s="302">
        <f>SUMPRODUCT((ISNUMBER(SEARCH($Y6,Dienstplan!$B$25:$B$36))*(ISNUMBER(SEARCH($AB$3,Dienstplan!$C$25:$AG$36)))))-D103</f>
        <v>0</v>
      </c>
      <c r="D103" s="302">
        <f>SUMPRODUCT((ISNUMBER(SEARCH($Y6,Dienstplan!$B$25:$B$36))*(ISNUMBER(SEARCH($AB$4,Dienstplan!$C$25:$AG$36)))))</f>
        <v>0</v>
      </c>
      <c r="E103" s="302">
        <f>SUMPRODUCT((ISNUMBER(SEARCH($Y6,Dienstplan!$B$25:$B$36))*(ISNUMBER(SEARCH($AB$5,Dienstplan!$C$25:$AG$36)))))</f>
        <v>0</v>
      </c>
      <c r="F103" s="302">
        <f>SUMPRODUCT((ISNUMBER(SEARCH($Y6,Dienstplan!$B$25:$B$36))*(ISNUMBER(SEARCH($AB$6,Dienstplan!$C$25:$AG$36)))))</f>
        <v>5</v>
      </c>
      <c r="G103" s="302">
        <f>SUMPRODUCT((ISNUMBER(SEARCH($Y6,Dienstplan!$B$25:$B$36))*(ISNUMBER(SEARCH($AB$7,Dienstplan!$C$25:$AG$36)))))-H103</f>
        <v>0</v>
      </c>
      <c r="H103" s="302">
        <f>SUMPRODUCT((ISNUMBER(SEARCH($Y6,Dienstplan!$B$25:$B$36))*(ISNUMBER(SEARCH($AB$8,Dienstplan!$C$25:$AG$36)))))</f>
        <v>0</v>
      </c>
      <c r="I103" s="302">
        <f>SUMPRODUCT((ISNUMBER(SEARCH($Y6,Dienstplan!$B$25:$B$36))*(ISNUMBER(SEARCH($AB$9,Dienstplan!$C$25:$AG$36)))))</f>
        <v>0</v>
      </c>
      <c r="J103" s="302">
        <f>SUMPRODUCT((ISNUMBER(SEARCH($Y6,Dienstplan!$B$25:$B$36))*(ISNUMBER(SEARCH($AB$10,Dienstplan!$C$25:$AG$36)))))</f>
        <v>0</v>
      </c>
      <c r="K103" s="302">
        <f>SUMPRODUCT((ISNUMBER(SEARCH($Y6,Dienstplan!$B$25:$B$36))*(ISNUMBER(SEARCH($AB$11,Dienstplan!$C$25:$AG$36)))))-$Q103</f>
        <v>7</v>
      </c>
      <c r="L103" s="302">
        <f>SUMPRODUCT((ISNUMBER(SEARCH($Y6,Dienstplan!$B$25:$B$36))*(ISNUMBER(SEARCH($AB$12,Dienstplan!$C$25:$AG$36)))))</f>
        <v>0</v>
      </c>
      <c r="M103" s="302">
        <f>SUMPRODUCT((ISNUMBER(SEARCH($Y6,Dienstplan!$B$25:$B$36))*(ISNUMBER(SEARCH($AB$13,Dienstplan!$C$25:$AG$36)))))</f>
        <v>0</v>
      </c>
      <c r="N103" s="302">
        <f>SUMPRODUCT((ISNUMBER(SEARCH($Y6,Dienstplan!$B$25:$B$36))*(ISNUMBER(SEARCH($AB$14,Dienstplan!$C$25:$AG$36)))))</f>
        <v>0</v>
      </c>
      <c r="O103" s="302">
        <f>SUMPRODUCT((ISNUMBER(SEARCH($Y6,Dienstplan!$B$25:$B$36))*(ISNUMBER(SEARCH($AB$15,Dienstplan!$C$25:$AG$36)))))</f>
        <v>1</v>
      </c>
      <c r="P103" s="302">
        <f>SUMPRODUCT((ISNUMBER(SEARCH($Y6,Dienstplan!$B$25:$B$36))*(ISNUMBER(SEARCH($AB$16,Dienstplan!$C$25:$AG$36)))))</f>
        <v>0</v>
      </c>
      <c r="Q103" s="302">
        <f>SUMPRODUCT((ISNUMBER(SEARCH($Y6,Dienstplan!$B$25:$B$36))*(ISNUMBER(SEARCH($AB$17,Dienstplan!$C$25:$AG$36)))))</f>
        <v>0</v>
      </c>
      <c r="R103" s="302">
        <f>SUMPRODUCT((ISNUMBER(SEARCH($Y6,Dienstplan!$B$25:$B$36))*(ISNUMBER(SEARCH($AB$18,Dienstplan!$C$25:$AG$36)))))</f>
        <v>0</v>
      </c>
      <c r="S103" s="308">
        <f>SUMPRODUCT((ISNUMBER(SEARCH($Y6,Dienstplan!$B$25:$B$36))*(ISNUMBER(SEARCH($AB$19,Dienstplan!$C$25:$AG$36)))))</f>
        <v>1</v>
      </c>
      <c r="T103" s="302">
        <f t="shared" si="43"/>
        <v>168</v>
      </c>
      <c r="U103" s="330">
        <f>SUM($C103*Frueh_1+$D103*Spaet_1+$E103*Nacht_1+$F103*Normal_1+$I103*Sonderd_1-$J103*Scho_K+$K103*Scho_K+$L103*EH_Kurs+$M103*Koor_taet+$N103*Sekre_1+$O103*Scho_K+$R103*Scho_K+$P103*Scho_K+$Q103*Scho_K+G103*Scho_K+H103*Scho_K)</f>
        <v>101.5</v>
      </c>
      <c r="V103" s="308">
        <f t="shared" si="44"/>
        <v>-66.5</v>
      </c>
      <c r="W103" s="318">
        <f t="shared" si="45"/>
        <v>-440</v>
      </c>
    </row>
    <row r="104" ht="12.75" customHeight="1">
      <c r="A104" s="308"/>
      <c r="B104" s="329" t="str">
        <f t="shared" si="42"/>
        <v>Göpfrich</v>
      </c>
      <c r="C104" s="302">
        <f>SUMPRODUCT((ISNUMBER(SEARCH($Y7,Dienstplan!$B$25:$B$36))*(ISNUMBER(SEARCH($AB$3,Dienstplan!$C$25:$AG$36)))))-D104</f>
        <v>0</v>
      </c>
      <c r="D104" s="302">
        <f>SUMPRODUCT((ISNUMBER(SEARCH($Y7,Dienstplan!$B$25:$B$36))*(ISNUMBER(SEARCH($AB$4,Dienstplan!$C$25:$AG$36)))))</f>
        <v>0</v>
      </c>
      <c r="E104" s="302">
        <f>SUMPRODUCT((ISNUMBER(SEARCH($Y7,Dienstplan!$B$25:$B$36))*(ISNUMBER(SEARCH($AB$5,Dienstplan!$C$25:$AG$36)))))</f>
        <v>0</v>
      </c>
      <c r="F104" s="302">
        <f>SUMPRODUCT((ISNUMBER(SEARCH($Y7,Dienstplan!$B$25:$B$36))*(ISNUMBER(SEARCH($AB$6,Dienstplan!$C$25:$AG$36)))))</f>
        <v>5</v>
      </c>
      <c r="G104" s="302">
        <f>SUMPRODUCT((ISNUMBER(SEARCH($Y7,Dienstplan!$B$25:$B$36))*(ISNUMBER(SEARCH($AB$7,Dienstplan!$C$25:$AG$36)))))-H104</f>
        <v>0</v>
      </c>
      <c r="H104" s="302">
        <f>SUMPRODUCT((ISNUMBER(SEARCH($Y7,Dienstplan!$B$25:$B$36))*(ISNUMBER(SEARCH($AB$8,Dienstplan!$C$25:$AG$36)))))</f>
        <v>0</v>
      </c>
      <c r="I104" s="302">
        <f>SUMPRODUCT((ISNUMBER(SEARCH($Y7,Dienstplan!$B$25:$B$36))*(ISNUMBER(SEARCH($AB$9,Dienstplan!$C$25:$AG$36)))))</f>
        <v>0</v>
      </c>
      <c r="J104" s="302">
        <f>SUMPRODUCT((ISNUMBER(SEARCH($Y7,Dienstplan!$B$25:$B$36))*(ISNUMBER(SEARCH($AB$10,Dienstplan!$C$25:$AG$36)))))</f>
        <v>0</v>
      </c>
      <c r="K104" s="302">
        <f>SUMPRODUCT((ISNUMBER(SEARCH($Y7,Dienstplan!$B$25:$B$36))*(ISNUMBER(SEARCH($AB$11,Dienstplan!$C$25:$AG$36)))))-$Q104</f>
        <v>5</v>
      </c>
      <c r="L104" s="302">
        <f>SUMPRODUCT((ISNUMBER(SEARCH($Y7,Dienstplan!$B$25:$B$36))*(ISNUMBER(SEARCH($AB$12,Dienstplan!$C$25:$AG$36)))))</f>
        <v>0</v>
      </c>
      <c r="M104" s="302">
        <f>SUMPRODUCT((ISNUMBER(SEARCH($Y7,Dienstplan!$B$25:$B$36))*(ISNUMBER(SEARCH($AB$13,Dienstplan!$C$25:$AG$36)))))</f>
        <v>0</v>
      </c>
      <c r="N104" s="302">
        <f>SUMPRODUCT((ISNUMBER(SEARCH($Y7,Dienstplan!$B$25:$B$36))*(ISNUMBER(SEARCH($AB$14,Dienstplan!$C$25:$AG$36)))))</f>
        <v>0</v>
      </c>
      <c r="O104" s="302">
        <f>SUMPRODUCT((ISNUMBER(SEARCH($Y7,Dienstplan!$B$25:$B$36))*(ISNUMBER(SEARCH($AB$15,Dienstplan!$C$25:$AG$36)))))</f>
        <v>0</v>
      </c>
      <c r="P104" s="302">
        <f>SUMPRODUCT((ISNUMBER(SEARCH($Y7,Dienstplan!$B$25:$B$36))*(ISNUMBER(SEARCH($AB$16,Dienstplan!$C$25:$AG$36)))))</f>
        <v>0</v>
      </c>
      <c r="Q104" s="302">
        <f>SUMPRODUCT((ISNUMBER(SEARCH($Y7,Dienstplan!$B$25:$B$36))*(ISNUMBER(SEARCH($AB$17,Dienstplan!$C$25:$AG$36)))))</f>
        <v>0</v>
      </c>
      <c r="R104" s="302">
        <f>SUMPRODUCT((ISNUMBER(SEARCH($Y7,Dienstplan!$B$25:$B$36))*(ISNUMBER(SEARCH($AB$18,Dienstplan!$C$25:$AG$36)))))</f>
        <v>0</v>
      </c>
      <c r="S104" s="308">
        <f>SUMPRODUCT((ISNUMBER(SEARCH($Y7,Dienstplan!$B$25:$B$36))*(ISNUMBER(SEARCH($AB$19,Dienstplan!$C$25:$AG$36)))))</f>
        <v>1</v>
      </c>
      <c r="T104" s="302">
        <f t="shared" si="43"/>
        <v>147</v>
      </c>
      <c r="U104" s="330">
        <f>SUM($C104*Frueh_1+$D104*Spaet_1+$E104*Nacht_1+$F104*Normal_1+$I104*Sonderd_1-$J104*Krie_B+$K104*Krie_B+$L104*EH_Kurs+$M104*Koor_taet+$N104*Sekre_1+$O104*Krie_B+$R104*Krie_B+$P104*Krie_B+$Q104*Krie_B+G104*Krie_B+H104*Krie_B)</f>
        <v>72.5</v>
      </c>
      <c r="V104" s="308">
        <f t="shared" si="44"/>
        <v>-74.5</v>
      </c>
      <c r="W104" s="318">
        <f t="shared" si="45"/>
        <v>-264.25</v>
      </c>
    </row>
    <row r="105" ht="12.75" customHeight="1">
      <c r="A105" s="308"/>
      <c r="B105" s="329" t="str">
        <f t="shared" si="42"/>
        <v>Zeller</v>
      </c>
      <c r="C105" s="302">
        <f>SUMPRODUCT((ISNUMBER(SEARCH($Y8,Dienstplan!$B$25:$B$36))*(ISNUMBER(SEARCH($AB$3,Dienstplan!$C$25:$AG$36)))))-D105</f>
        <v>0</v>
      </c>
      <c r="D105" s="302">
        <f>SUMPRODUCT((ISNUMBER(SEARCH($Y8,Dienstplan!$B$25:$B$36))*(ISNUMBER(SEARCH($AB$4,Dienstplan!$C$25:$AG$36)))))</f>
        <v>0</v>
      </c>
      <c r="E105" s="302">
        <f>SUMPRODUCT((ISNUMBER(SEARCH($Y8,Dienstplan!$B$25:$B$36))*(ISNUMBER(SEARCH($AB$5,Dienstplan!$C$25:$AG$36)))))</f>
        <v>0</v>
      </c>
      <c r="F105" s="302">
        <f>SUMPRODUCT((ISNUMBER(SEARCH($Y8,Dienstplan!$B$25:$B$36))*(ISNUMBER(SEARCH($AB$6,Dienstplan!$C$25:$AG$36)))))</f>
        <v>0</v>
      </c>
      <c r="G105" s="302">
        <f>SUMPRODUCT((ISNUMBER(SEARCH($Y8,Dienstplan!$B$25:$B$36))*(ISNUMBER(SEARCH($AB$7,Dienstplan!$C$25:$AG$36)))))-H105</f>
        <v>0</v>
      </c>
      <c r="H105" s="302">
        <f>SUMPRODUCT((ISNUMBER(SEARCH($Y8,Dienstplan!$B$25:$B$36))*(ISNUMBER(SEARCH($AB$8,Dienstplan!$C$25:$AG$36)))))</f>
        <v>0</v>
      </c>
      <c r="I105" s="302">
        <f>SUMPRODUCT((ISNUMBER(SEARCH($Y8,Dienstplan!$B$25:$B$36))*(ISNUMBER(SEARCH($AB$9,Dienstplan!$C$25:$AG$36)))))</f>
        <v>0</v>
      </c>
      <c r="J105" s="302">
        <f>SUMPRODUCT((ISNUMBER(SEARCH($Y8,Dienstplan!$B$25:$B$36))*(ISNUMBER(SEARCH($AB$10,Dienstplan!$C$25:$AG$36)))))</f>
        <v>0</v>
      </c>
      <c r="K105" s="302">
        <f>SUMPRODUCT((ISNUMBER(SEARCH($Y8,Dienstplan!$B$25:$B$36))*(ISNUMBER(SEARCH($AB$11,Dienstplan!$C$25:$AG$36)))))-$Q105</f>
        <v>5</v>
      </c>
      <c r="L105" s="302">
        <f>SUMPRODUCT((ISNUMBER(SEARCH($Y8,Dienstplan!$B$25:$B$36))*(ISNUMBER(SEARCH($AB$12,Dienstplan!$C$25:$AG$36)))))</f>
        <v>0</v>
      </c>
      <c r="M105" s="302">
        <f>SUMPRODUCT((ISNUMBER(SEARCH($Y8,Dienstplan!$B$25:$B$36))*(ISNUMBER(SEARCH($AB$13,Dienstplan!$C$25:$AG$36)))))</f>
        <v>0</v>
      </c>
      <c r="N105" s="302">
        <f>SUMPRODUCT((ISNUMBER(SEARCH($Y8,Dienstplan!$B$25:$B$36))*(ISNUMBER(SEARCH($AB$14,Dienstplan!$C$25:$AG$36)))))</f>
        <v>0</v>
      </c>
      <c r="O105" s="302">
        <f>SUMPRODUCT((ISNUMBER(SEARCH($Y8,Dienstplan!$B$25:$B$36))*(ISNUMBER(SEARCH($AB$15,Dienstplan!$C$25:$AG$36)))))</f>
        <v>0</v>
      </c>
      <c r="P105" s="302">
        <f>SUMPRODUCT((ISNUMBER(SEARCH($Y8,Dienstplan!$B$25:$B$36))*(ISNUMBER(SEARCH($AB$16,Dienstplan!$C$25:$AG$36)))))</f>
        <v>0</v>
      </c>
      <c r="Q105" s="302">
        <f>SUMPRODUCT((ISNUMBER(SEARCH($Y8,Dienstplan!$B$25:$B$36))*(ISNUMBER(SEARCH($AB$17,Dienstplan!$C$25:$AG$36)))))</f>
        <v>0</v>
      </c>
      <c r="R105" s="302">
        <f>SUMPRODUCT((ISNUMBER(SEARCH($Y8,Dienstplan!$B$25:$B$36))*(ISNUMBER(SEARCH($AB$18,Dienstplan!$C$25:$AG$36)))))</f>
        <v>0</v>
      </c>
      <c r="S105" s="308">
        <f>SUMPRODUCT((ISNUMBER(SEARCH($Y8,Dienstplan!$B$25:$B$36))*(ISNUMBER(SEARCH($AB$19,Dienstplan!$C$25:$AG$36)))))</f>
        <v>0</v>
      </c>
      <c r="T105" s="302">
        <f t="shared" si="43"/>
        <v>168</v>
      </c>
      <c r="U105" s="330">
        <f>SUM($C105*Frueh_1+$D105*Spaet_1+$E105*Nacht_1+$F105*Normal_1+$I105*Sonderd_1-$J105*Muster+$K105*Muster+$L105*EH_Kurs+$M105*Koor_taet+$N105*Sekre_1+$O105*Muster+$P105*Muster+$Q105*Muster+$R105*Muster+G105*Muster+H105*Muster)</f>
        <v>40</v>
      </c>
      <c r="V105" s="308">
        <f t="shared" si="44"/>
        <v>-128</v>
      </c>
      <c r="W105" s="318">
        <f t="shared" si="45"/>
        <v>-480.25</v>
      </c>
    </row>
    <row r="106" ht="12.75" customHeight="1">
      <c r="A106" s="308"/>
      <c r="B106" s="329" t="str">
        <f t="shared" si="42"/>
        <v>Behrendt</v>
      </c>
      <c r="C106" s="302">
        <f>SUMPRODUCT((ISNUMBER(SEARCH($Y9,Dienstplan!$B$25:$B$36))*(ISNUMBER(SEARCH($AB$3,Dienstplan!$C$25:$AG$36)))))-D106</f>
        <v>0</v>
      </c>
      <c r="D106" s="302">
        <f>SUMPRODUCT((ISNUMBER(SEARCH($Y9,Dienstplan!$B$25:$B$36))*(ISNUMBER(SEARCH($AB$4,Dienstplan!$C$25:$AG$36)))))</f>
        <v>0</v>
      </c>
      <c r="E106" s="302">
        <f>SUMPRODUCT((ISNUMBER(SEARCH($Y9,Dienstplan!$B$25:$B$36))*(ISNUMBER(SEARCH($AB$5,Dienstplan!$C$25:$AG$36)))))</f>
        <v>0</v>
      </c>
      <c r="F106" s="302">
        <f>SUMPRODUCT((ISNUMBER(SEARCH($Y9,Dienstplan!$B$25:$B$36))*(ISNUMBER(SEARCH($AB$6,Dienstplan!$C$25:$AG$36)))))</f>
        <v>5</v>
      </c>
      <c r="G106" s="302">
        <f>SUMPRODUCT((ISNUMBER(SEARCH($Y9,Dienstplan!$B$25:$B$36))*(ISNUMBER(SEARCH($AB$7,Dienstplan!$C$25:$AG$36)))))-H106</f>
        <v>0</v>
      </c>
      <c r="H106" s="302">
        <f>SUMPRODUCT((ISNUMBER(SEARCH($Y9,Dienstplan!$B$25:$B$36))*(ISNUMBER(SEARCH($AB$8,Dienstplan!$C$25:$AG$36)))))</f>
        <v>0</v>
      </c>
      <c r="I106" s="302">
        <f>SUMPRODUCT((ISNUMBER(SEARCH($Y9,Dienstplan!$B$25:$B$36))*(ISNUMBER(SEARCH($AB$9,Dienstplan!$C$25:$AG$36)))))</f>
        <v>0</v>
      </c>
      <c r="J106" s="302">
        <f>SUMPRODUCT((ISNUMBER(SEARCH($Y9,Dienstplan!$B$25:$B$36))*(ISNUMBER(SEARCH($AB$10,Dienstplan!$C$25:$AG$36)))))</f>
        <v>0</v>
      </c>
      <c r="K106" s="302">
        <f>SUMPRODUCT((ISNUMBER(SEARCH($Y9,Dienstplan!$B$25:$B$36))*(ISNUMBER(SEARCH($AB$11,Dienstplan!$C$25:$AG$36)))))-$Q106</f>
        <v>5</v>
      </c>
      <c r="L106" s="302">
        <f>SUMPRODUCT((ISNUMBER(SEARCH($Y9,Dienstplan!$B$25:$B$36))*(ISNUMBER(SEARCH($AB$12,Dienstplan!$C$25:$AG$36)))))</f>
        <v>0</v>
      </c>
      <c r="M106" s="302">
        <f>SUMPRODUCT((ISNUMBER(SEARCH($Y9,Dienstplan!$B$25:$B$36))*(ISNUMBER(SEARCH($AB$13,Dienstplan!$C$25:$AG$36)))))</f>
        <v>0</v>
      </c>
      <c r="N106" s="302">
        <f>SUMPRODUCT((ISNUMBER(SEARCH($Y9,Dienstplan!$B$25:$B$36))*(ISNUMBER(SEARCH($AB$14,Dienstplan!$C$25:$AG$36)))))</f>
        <v>0</v>
      </c>
      <c r="O106" s="302">
        <f>SUMPRODUCT((ISNUMBER(SEARCH($Y9,Dienstplan!$B$25:$B$36))*(ISNUMBER(SEARCH($AB$15,Dienstplan!$C$25:$AG$36)))))</f>
        <v>0</v>
      </c>
      <c r="P106" s="302">
        <f>SUMPRODUCT((ISNUMBER(SEARCH($Y9,Dienstplan!$B$25:$B$36))*(ISNUMBER(SEARCH($AB$16,Dienstplan!$C$25:$AG$36)))))</f>
        <v>0</v>
      </c>
      <c r="Q106" s="302">
        <f>SUMPRODUCT((ISNUMBER(SEARCH($Y9,Dienstplan!$B$25:$B$36))*(ISNUMBER(SEARCH($AB$17,Dienstplan!$C$25:$AG$36)))))</f>
        <v>0</v>
      </c>
      <c r="R106" s="302">
        <f>SUMPRODUCT((ISNUMBER(SEARCH($Y9,Dienstplan!$B$25:$B$36))*(ISNUMBER(SEARCH($AB$18,Dienstplan!$C$25:$AG$36)))))</f>
        <v>0</v>
      </c>
      <c r="S106" s="308">
        <f>SUMPRODUCT((ISNUMBER(SEARCH($Y9,Dienstplan!$B$25:$B$36))*(ISNUMBER(SEARCH($AB$19,Dienstplan!$C$25:$AG$36)))))</f>
        <v>1</v>
      </c>
      <c r="T106" s="302">
        <f t="shared" si="43"/>
        <v>147</v>
      </c>
      <c r="U106" s="330">
        <f>SUM($C106*Frueh_1+$D106*Spaet_1+$E106*Nacht_1+$F106*Normal_1+$I106*Sonderd_1-$J106*Muster+$K106*Muster+$L106*EH_Kurs+$M106*Koor_taet+$N106*Sekre_1+$O106*Muster+$P106*Muster+$Q106*Muster+$R106*Muster+G106*Muster+H106*Muster)</f>
        <v>77.5</v>
      </c>
      <c r="V106" s="308">
        <f t="shared" si="44"/>
        <v>-69.5</v>
      </c>
      <c r="W106" s="318">
        <f t="shared" si="45"/>
        <v>-453.45</v>
      </c>
    </row>
    <row r="107" ht="12.75" customHeight="1">
      <c r="A107" s="308"/>
      <c r="B107" s="329" t="str">
        <f t="shared" si="42"/>
        <v>Krempl</v>
      </c>
      <c r="C107" s="302">
        <f>SUMPRODUCT((ISNUMBER(SEARCH($Y10,Dienstplan!$B$25:$B$36))*(ISNUMBER(SEARCH($AB$3,Dienstplan!$C$25:$AG$36)))))-D107</f>
        <v>0</v>
      </c>
      <c r="D107" s="302">
        <f>SUMPRODUCT((ISNUMBER(SEARCH($Y10,Dienstplan!$B$25:$B$36))*(ISNUMBER(SEARCH($AB$4,Dienstplan!$C$25:$AG$36)))))</f>
        <v>0</v>
      </c>
      <c r="E107" s="302">
        <f>SUMPRODUCT((ISNUMBER(SEARCH($Y10,Dienstplan!$B$25:$B$36))*(ISNUMBER(SEARCH($AB$5,Dienstplan!$C$25:$AG$36)))))</f>
        <v>0</v>
      </c>
      <c r="F107" s="302">
        <f>SUMPRODUCT((ISNUMBER(SEARCH($Y10,Dienstplan!$B$25:$B$36))*(ISNUMBER(SEARCH($AB$6,Dienstplan!$C$25:$AG$36)))))</f>
        <v>0</v>
      </c>
      <c r="G107" s="302">
        <f>SUMPRODUCT((ISNUMBER(SEARCH($Y10,Dienstplan!$B$25:$B$36))*(ISNUMBER(SEARCH($AB$7,Dienstplan!$C$25:$AG$36)))))-H107</f>
        <v>0</v>
      </c>
      <c r="H107" s="302">
        <f>SUMPRODUCT((ISNUMBER(SEARCH($Y10,Dienstplan!$B$25:$B$36))*(ISNUMBER(SEARCH($AB$8,Dienstplan!$C$25:$AG$36)))))</f>
        <v>0</v>
      </c>
      <c r="I107" s="302">
        <f>SUMPRODUCT((ISNUMBER(SEARCH($Y10,Dienstplan!$B$25:$B$36))*(ISNUMBER(SEARCH($AB$9,Dienstplan!$C$25:$AG$36)))))</f>
        <v>0</v>
      </c>
      <c r="J107" s="302">
        <f>SUMPRODUCT((ISNUMBER(SEARCH($Y10,Dienstplan!$B$25:$B$36))*(ISNUMBER(SEARCH($AB$10,Dienstplan!$C$25:$AG$36)))))</f>
        <v>0</v>
      </c>
      <c r="K107" s="302">
        <f>SUMPRODUCT((ISNUMBER(SEARCH($Y10,Dienstplan!$B$25:$B$36))*(ISNUMBER(SEARCH($AB$11,Dienstplan!$C$25:$AG$36)))))-$Q107</f>
        <v>0</v>
      </c>
      <c r="L107" s="302">
        <f>SUMPRODUCT((ISNUMBER(SEARCH($Y10,Dienstplan!$B$25:$B$36))*(ISNUMBER(SEARCH($AB$12,Dienstplan!$C$25:$AG$36)))))</f>
        <v>0</v>
      </c>
      <c r="M107" s="302">
        <f>SUMPRODUCT((ISNUMBER(SEARCH($Y10,Dienstplan!$B$25:$B$36))*(ISNUMBER(SEARCH($AB$13,Dienstplan!$C$25:$AG$36)))))</f>
        <v>0</v>
      </c>
      <c r="N107" s="302">
        <f>SUMPRODUCT((ISNUMBER(SEARCH($Y10,Dienstplan!$B$25:$B$36))*(ISNUMBER(SEARCH($AB$14,Dienstplan!$C$25:$AG$36)))))</f>
        <v>0</v>
      </c>
      <c r="O107" s="302">
        <f>SUMPRODUCT((ISNUMBER(SEARCH($Y10,Dienstplan!$B$25:$B$36))*(ISNUMBER(SEARCH($AB$15,Dienstplan!$C$25:$AG$36)))))</f>
        <v>0</v>
      </c>
      <c r="P107" s="302">
        <f>SUMPRODUCT((ISNUMBER(SEARCH($Y10,Dienstplan!$B$25:$B$36))*(ISNUMBER(SEARCH($AB$16,Dienstplan!$C$25:$AG$36)))))</f>
        <v>0</v>
      </c>
      <c r="Q107" s="302">
        <f>SUMPRODUCT((ISNUMBER(SEARCH($Y10,Dienstplan!$B$25:$B$36))*(ISNUMBER(SEARCH($AB$17,Dienstplan!$C$25:$AG$36)))))</f>
        <v>0</v>
      </c>
      <c r="R107" s="302">
        <f>SUMPRODUCT((ISNUMBER(SEARCH($Y10,Dienstplan!$B$25:$B$36))*(ISNUMBER(SEARCH($AB$18,Dienstplan!$C$25:$AG$36)))))</f>
        <v>0</v>
      </c>
      <c r="S107" s="308">
        <f>SUMPRODUCT((ISNUMBER(SEARCH($Y10,Dienstplan!$B$25:$B$36))*(ISNUMBER(SEARCH($AB$19,Dienstplan!$C$25:$AG$36)))))</f>
        <v>0</v>
      </c>
      <c r="T107" s="302">
        <f t="shared" si="43"/>
        <v>67.2</v>
      </c>
      <c r="U107" s="330">
        <f>SUM($C107*Frueh_1+$D107*Spaet_1+$E107*Nacht_1+$F107*Normal_1+$I107*Sonderd_1-$J107*Krem_E+$K107*Krem_E+$L107*EH_Kurs+$M107*Koor_taet+$N107*Sekre_1+$O107*Krem_E+$R107*Krem_E+$P107*Krem_E+$Q107*Krem_E+G107*Krem_E+H107*Krem_E)</f>
        <v>0</v>
      </c>
      <c r="V107" s="308">
        <f t="shared" si="44"/>
        <v>-67.2</v>
      </c>
      <c r="W107" s="318">
        <f t="shared" si="45"/>
        <v>-358.3</v>
      </c>
    </row>
    <row r="108" ht="12.75" customHeight="1">
      <c r="A108" s="308"/>
      <c r="B108" s="329" t="str">
        <f t="shared" si="42"/>
        <v>Putschler</v>
      </c>
      <c r="C108" s="302">
        <f>SUMPRODUCT((ISNUMBER(SEARCH($Y11,Dienstplan!$B$25:$B$36))*(ISNUMBER(SEARCH($AB$3,Dienstplan!$C$25:$AG$36)))))-D108</f>
        <v>0</v>
      </c>
      <c r="D108" s="302">
        <f>SUMPRODUCT((ISNUMBER(SEARCH($Y11,Dienstplan!$B$25:$B$36))*(ISNUMBER(SEARCH($AB$4,Dienstplan!$C$25:$AG$36)))))</f>
        <v>0</v>
      </c>
      <c r="E108" s="302">
        <f>SUMPRODUCT((ISNUMBER(SEARCH($Y11,Dienstplan!$B$25:$B$36))*(ISNUMBER(SEARCH($AB$5,Dienstplan!$C$25:$AG$36)))))</f>
        <v>0</v>
      </c>
      <c r="F108" s="302">
        <f>SUMPRODUCT((ISNUMBER(SEARCH($Y11,Dienstplan!$B$25:$B$36))*(ISNUMBER(SEARCH($AB$6,Dienstplan!$C$25:$AG$36)))))</f>
        <v>0</v>
      </c>
      <c r="G108" s="302">
        <f>SUMPRODUCT((ISNUMBER(SEARCH($Y11,Dienstplan!$B$25:$B$36))*(ISNUMBER(SEARCH($AB$7,Dienstplan!$C$25:$AG$36)))))-H108</f>
        <v>0</v>
      </c>
      <c r="H108" s="302">
        <f>SUMPRODUCT((ISNUMBER(SEARCH($Y11,Dienstplan!$B$25:$B$36))*(ISNUMBER(SEARCH($AB$8,Dienstplan!$C$25:$AG$36)))))</f>
        <v>0</v>
      </c>
      <c r="I108" s="302">
        <f>SUMPRODUCT((ISNUMBER(SEARCH($Y11,Dienstplan!$B$25:$B$36))*(ISNUMBER(SEARCH($AB$9,Dienstplan!$C$25:$AG$36)))))</f>
        <v>0</v>
      </c>
      <c r="J108" s="302">
        <f>SUMPRODUCT((ISNUMBER(SEARCH($Y11,Dienstplan!$B$25:$B$36))*(ISNUMBER(SEARCH($AB$10,Dienstplan!$C$25:$AG$36)))))</f>
        <v>0</v>
      </c>
      <c r="K108" s="302">
        <f>SUMPRODUCT((ISNUMBER(SEARCH($Y11,Dienstplan!$B$25:$B$36))*(ISNUMBER(SEARCH($AB$11,Dienstplan!$C$25:$AG$36)))))-$Q108</f>
        <v>0</v>
      </c>
      <c r="L108" s="302">
        <f>SUMPRODUCT((ISNUMBER(SEARCH($Y11,Dienstplan!$B$25:$B$36))*(ISNUMBER(SEARCH($AB$12,Dienstplan!$C$25:$AG$36)))))</f>
        <v>0</v>
      </c>
      <c r="M108" s="302">
        <f>SUMPRODUCT((ISNUMBER(SEARCH($Y11,Dienstplan!$B$25:$B$36))*(ISNUMBER(SEARCH($AB$13,Dienstplan!$C$25:$AG$36)))))</f>
        <v>1</v>
      </c>
      <c r="N108" s="302">
        <f>SUMPRODUCT((ISNUMBER(SEARCH($Y11,Dienstplan!$B$25:$B$36))*(ISNUMBER(SEARCH($AB$14,Dienstplan!$C$25:$AG$36)))))</f>
        <v>0</v>
      </c>
      <c r="O108" s="302">
        <f>SUMPRODUCT((ISNUMBER(SEARCH($Y11,Dienstplan!$B$25:$B$36))*(ISNUMBER(SEARCH($AB$15,Dienstplan!$C$25:$AG$36)))))</f>
        <v>0</v>
      </c>
      <c r="P108" s="302">
        <f>SUMPRODUCT((ISNUMBER(SEARCH($Y11,Dienstplan!$B$25:$B$36))*(ISNUMBER(SEARCH($AB$16,Dienstplan!$C$25:$AG$36)))))</f>
        <v>0</v>
      </c>
      <c r="Q108" s="302">
        <f>SUMPRODUCT((ISNUMBER(SEARCH($Y11,Dienstplan!$B$25:$B$36))*(ISNUMBER(SEARCH($AB$17,Dienstplan!$C$25:$AG$36)))))</f>
        <v>0</v>
      </c>
      <c r="R108" s="302">
        <f>SUMPRODUCT((ISNUMBER(SEARCH($Y11,Dienstplan!$B$25:$B$36))*(ISNUMBER(SEARCH($AB$18,Dienstplan!$C$25:$AG$36)))))</f>
        <v>0</v>
      </c>
      <c r="S108" s="308">
        <f>SUMPRODUCT((ISNUMBER(SEARCH($Y11,Dienstplan!$B$25:$B$36))*(ISNUMBER(SEARCH($AB$19,Dienstplan!$C$25:$AG$36)))))</f>
        <v>0</v>
      </c>
      <c r="T108" s="302">
        <f t="shared" si="43"/>
        <v>168</v>
      </c>
      <c r="U108" s="330">
        <f>SUM($C108*Frueh_1+$D108*Spaet_1+$E108*Nacht_1+$F108*Normal_1+$I108*Sonderd_1-$J108*Put_W+$K108*Put_W+$L108*EH_Kurs+$M108*Koor_taet+$N108*Sekre_1+$O108*Put_W+$R108*Put_W+$P108*Put_W+$Q108*Put_W+G108*Put_W+H108*Put_W)</f>
        <v>8</v>
      </c>
      <c r="V108" s="308">
        <f t="shared" si="44"/>
        <v>-160</v>
      </c>
      <c r="W108" s="318">
        <f t="shared" si="45"/>
        <v>-656</v>
      </c>
    </row>
    <row r="109" ht="12.75" customHeight="1">
      <c r="A109" s="308"/>
      <c r="B109" s="329" t="str">
        <f t="shared" si="42"/>
        <v>Schmidt</v>
      </c>
      <c r="C109" s="302">
        <f>SUMPRODUCT((ISNUMBER(SEARCH($Y12,Dienstplan!$B$25:$B$36))*(ISNUMBER(SEARCH($AB$3,Dienstplan!$C$25:$AG$36)))))-D109</f>
        <v>0</v>
      </c>
      <c r="D109" s="302">
        <f>SUMPRODUCT((ISNUMBER(SEARCH($Y12,Dienstplan!$B$25:$B$36))*(ISNUMBER(SEARCH($AB$4,Dienstplan!$C$25:$AG$36)))))</f>
        <v>0</v>
      </c>
      <c r="E109" s="302">
        <f>SUMPRODUCT((ISNUMBER(SEARCH($Y12,Dienstplan!$B$25:$B$36))*(ISNUMBER(SEARCH($AB$5,Dienstplan!$C$25:$AG$36)))))</f>
        <v>0</v>
      </c>
      <c r="F109" s="302">
        <f>SUMPRODUCT((ISNUMBER(SEARCH($Y12,Dienstplan!$B$25:$B$36))*(ISNUMBER(SEARCH($AB$6,Dienstplan!$C$25:$AG$36)))))</f>
        <v>0</v>
      </c>
      <c r="G109" s="302">
        <f>SUMPRODUCT((ISNUMBER(SEARCH($Y12,Dienstplan!$B$25:$B$36))*(ISNUMBER(SEARCH($AB$7,Dienstplan!$C$25:$AG$36)))))-H109</f>
        <v>0</v>
      </c>
      <c r="H109" s="302">
        <f>SUMPRODUCT((ISNUMBER(SEARCH($Y12,Dienstplan!$B$25:$B$36))*(ISNUMBER(SEARCH($AB$8,Dienstplan!$C$25:$AG$36)))))</f>
        <v>0</v>
      </c>
      <c r="I109" s="302">
        <f>SUMPRODUCT((ISNUMBER(SEARCH($Y12,Dienstplan!$B$25:$B$36))*(ISNUMBER(SEARCH($AB$9,Dienstplan!$C$25:$AG$36)))))</f>
        <v>0</v>
      </c>
      <c r="J109" s="302">
        <f>SUMPRODUCT((ISNUMBER(SEARCH($Y12,Dienstplan!$B$25:$B$36))*(ISNUMBER(SEARCH($AB$10,Dienstplan!$C$25:$AG$36)))))</f>
        <v>0</v>
      </c>
      <c r="K109" s="302">
        <f>SUMPRODUCT((ISNUMBER(SEARCH($Y12,Dienstplan!$B$25:$B$36))*(ISNUMBER(SEARCH($AB$11,Dienstplan!$C$25:$AG$36)))))-$Q109</f>
        <v>7</v>
      </c>
      <c r="L109" s="302">
        <f>SUMPRODUCT((ISNUMBER(SEARCH($Y12,Dienstplan!$B$25:$B$36))*(ISNUMBER(SEARCH($AB$12,Dienstplan!$C$25:$AG$36)))))</f>
        <v>0</v>
      </c>
      <c r="M109" s="302">
        <f>SUMPRODUCT((ISNUMBER(SEARCH($Y12,Dienstplan!$B$25:$B$36))*(ISNUMBER(SEARCH($AB$13,Dienstplan!$C$25:$AG$36)))))</f>
        <v>0</v>
      </c>
      <c r="N109" s="302">
        <f>SUMPRODUCT((ISNUMBER(SEARCH($Y12,Dienstplan!$B$25:$B$36))*(ISNUMBER(SEARCH($AB$14,Dienstplan!$C$25:$AG$36)))))</f>
        <v>0</v>
      </c>
      <c r="O109" s="302">
        <f>SUMPRODUCT((ISNUMBER(SEARCH($Y12,Dienstplan!$B$25:$B$36))*(ISNUMBER(SEARCH($AB$15,Dienstplan!$C$25:$AG$36)))))</f>
        <v>0</v>
      </c>
      <c r="P109" s="302">
        <f>SUMPRODUCT((ISNUMBER(SEARCH($Y12,Dienstplan!$B$25:$B$36))*(ISNUMBER(SEARCH($AB$16,Dienstplan!$C$25:$AG$36)))))</f>
        <v>0</v>
      </c>
      <c r="Q109" s="302">
        <f>SUMPRODUCT((ISNUMBER(SEARCH($Y12,Dienstplan!$B$25:$B$36))*(ISNUMBER(SEARCH($AB$17,Dienstplan!$C$25:$AG$36)))))</f>
        <v>0</v>
      </c>
      <c r="R109" s="302">
        <f>SUMPRODUCT((ISNUMBER(SEARCH($Y12,Dienstplan!$B$25:$B$36))*(ISNUMBER(SEARCH($AB$18,Dienstplan!$C$25:$AG$36)))))</f>
        <v>0</v>
      </c>
      <c r="S109" s="308">
        <f>SUMPRODUCT((ISNUMBER(SEARCH($Y12,Dienstplan!$B$25:$B$36))*(ISNUMBER(SEARCH($AB$19,Dienstplan!$C$25:$AG$36)))))</f>
        <v>0</v>
      </c>
      <c r="T109" s="302">
        <f t="shared" si="43"/>
        <v>147</v>
      </c>
      <c r="U109" s="330">
        <f>SUM($C109*Frueh_1+$D109*Spaet_1+$E109*Nacht_1+$F109*Normal_1+$I109*Sonderd_1-$J109*Radi_L+$K109*Radi_L+$L109*EH_Kurs+$M109*Koor_taet+$N109*Sekre_1+$O109*Radi_L+$R109*Radi_L+$P109*Radi_L+$Q109*Radi_L+G109*Radi_L+H109*Radi_L)</f>
        <v>49</v>
      </c>
      <c r="V109" s="308">
        <f t="shared" si="44"/>
        <v>-98</v>
      </c>
      <c r="W109" s="318">
        <f t="shared" si="45"/>
        <v>-854</v>
      </c>
    </row>
    <row r="110" ht="12.75" customHeight="1">
      <c r="A110" s="308"/>
      <c r="B110" s="329" t="str">
        <f t="shared" si="42"/>
        <v>Radimersky</v>
      </c>
      <c r="C110" s="302">
        <f>SUMPRODUCT((ISNUMBER(SEARCH($Y13,Dienstplan!$B$25:$B$36))*(ISNUMBER(SEARCH($AB$3,Dienstplan!$C$25:$AG$36)))))-D110</f>
        <v>0</v>
      </c>
      <c r="D110" s="302">
        <f>SUMPRODUCT((ISNUMBER(SEARCH($Y13,Dienstplan!$B$25:$B$36))*(ISNUMBER(SEARCH($AB$4,Dienstplan!$C$25:$AG$36)))))</f>
        <v>0</v>
      </c>
      <c r="E110" s="302">
        <f>SUMPRODUCT((ISNUMBER(SEARCH($Y13,Dienstplan!$B$25:$B$36))*(ISNUMBER(SEARCH($AB$5,Dienstplan!$C$25:$AG$36)))))</f>
        <v>0</v>
      </c>
      <c r="F110" s="302">
        <f>SUMPRODUCT((ISNUMBER(SEARCH($Y13,Dienstplan!$B$25:$B$36))*(ISNUMBER(SEARCH($AB$6,Dienstplan!$C$25:$AG$36)))))</f>
        <v>0</v>
      </c>
      <c r="G110" s="302">
        <f>SUMPRODUCT((ISNUMBER(SEARCH($Y13,Dienstplan!$B$25:$B$36))*(ISNUMBER(SEARCH($AB$7,Dienstplan!$C$25:$AG$36)))))-H110</f>
        <v>0</v>
      </c>
      <c r="H110" s="302">
        <f>SUMPRODUCT((ISNUMBER(SEARCH($Y13,Dienstplan!$B$25:$B$36))*(ISNUMBER(SEARCH($AB$8,Dienstplan!$C$25:$AG$36)))))</f>
        <v>0</v>
      </c>
      <c r="I110" s="302">
        <f>SUMPRODUCT((ISNUMBER(SEARCH($Y13,Dienstplan!$B$25:$B$36))*(ISNUMBER(SEARCH($AB$9,Dienstplan!$C$25:$AG$36)))))</f>
        <v>0</v>
      </c>
      <c r="J110" s="302">
        <f>SUMPRODUCT((ISNUMBER(SEARCH($Y13,Dienstplan!$B$25:$B$36))*(ISNUMBER(SEARCH($AB$10,Dienstplan!$C$25:$AG$36)))))</f>
        <v>0</v>
      </c>
      <c r="K110" s="302">
        <f>SUMPRODUCT((ISNUMBER(SEARCH($Y13,Dienstplan!$B$25:$B$36))*(ISNUMBER(SEARCH($AB$11,Dienstplan!$C$25:$AG$36)))))-$Q110</f>
        <v>1</v>
      </c>
      <c r="L110" s="302">
        <f>SUMPRODUCT((ISNUMBER(SEARCH($Y13,Dienstplan!$B$25:$B$36))*(ISNUMBER(SEARCH($AB$12,Dienstplan!$C$25:$AG$36)))))</f>
        <v>0</v>
      </c>
      <c r="M110" s="302">
        <f>SUMPRODUCT((ISNUMBER(SEARCH($Y13,Dienstplan!$B$25:$B$36))*(ISNUMBER(SEARCH($AB$13,Dienstplan!$C$25:$AG$36)))))</f>
        <v>0</v>
      </c>
      <c r="N110" s="302">
        <f>SUMPRODUCT((ISNUMBER(SEARCH($Y13,Dienstplan!$B$25:$B$36))*(ISNUMBER(SEARCH($AB$14,Dienstplan!$C$25:$AG$36)))))</f>
        <v>0</v>
      </c>
      <c r="O110" s="302">
        <f>SUMPRODUCT((ISNUMBER(SEARCH($Y13,Dienstplan!$B$25:$B$36))*(ISNUMBER(SEARCH($AB$15,Dienstplan!$C$25:$AG$36)))))</f>
        <v>0</v>
      </c>
      <c r="P110" s="302">
        <f>SUMPRODUCT((ISNUMBER(SEARCH($Y13,Dienstplan!$B$25:$B$36))*(ISNUMBER(SEARCH($AB$16,Dienstplan!$C$25:$AG$36)))))</f>
        <v>0</v>
      </c>
      <c r="Q110" s="302">
        <f>SUMPRODUCT((ISNUMBER(SEARCH($Y13,Dienstplan!$B$25:$B$36))*(ISNUMBER(SEARCH($AB$17,Dienstplan!$C$25:$AG$36)))))</f>
        <v>0</v>
      </c>
      <c r="R110" s="302">
        <f>SUMPRODUCT((ISNUMBER(SEARCH($Y13,Dienstplan!$B$25:$B$36))*(ISNUMBER(SEARCH($AB$18,Dienstplan!$C$25:$AG$36)))))</f>
        <v>0</v>
      </c>
      <c r="S110" s="308">
        <f>SUMPRODUCT((ISNUMBER(SEARCH($Y13,Dienstplan!$B$25:$B$36))*(ISNUMBER(SEARCH($AB$19,Dienstplan!$C$25:$AG$36)))))</f>
        <v>0</v>
      </c>
      <c r="T110" s="302">
        <f t="shared" si="43"/>
        <v>63</v>
      </c>
      <c r="U110" s="330">
        <f>SUM($C110*Frueh_1+$D110*Spaet_1+$E110*Nacht_1+$F110*Normal_1+$I110*Sonderd_1-$J110*Fortenb+$K110*Fortenb+$L110*EH_Kurs+$M110*Koor_taet+$N110*Sekre_1+$O110*Fortenb+$R110*Fortenb+$P110*Fortenb+$Q110*Fortenb+G110*Fortenb+H110*Fortenb)</f>
        <v>3</v>
      </c>
      <c r="V110" s="308">
        <f t="shared" si="44"/>
        <v>-60</v>
      </c>
      <c r="W110" s="318">
        <f t="shared" si="45"/>
        <v>-384</v>
      </c>
    </row>
    <row r="111" ht="12.75" customHeight="1">
      <c r="A111" s="308"/>
      <c r="B111" s="329"/>
      <c r="S111" s="308"/>
      <c r="V111" s="308"/>
      <c r="W111" s="318"/>
    </row>
    <row r="112" ht="12.75" customHeight="1">
      <c r="A112" s="308"/>
      <c r="B112" s="329" t="s">
        <v>134</v>
      </c>
      <c r="C112" s="303">
        <f t="shared" ref="C112:S112" si="46">SUM(C100:C111)</f>
        <v>0</v>
      </c>
      <c r="D112" s="303">
        <f t="shared" si="46"/>
        <v>0</v>
      </c>
      <c r="E112" s="303">
        <f t="shared" si="46"/>
        <v>0</v>
      </c>
      <c r="F112" s="303">
        <f t="shared" si="46"/>
        <v>22</v>
      </c>
      <c r="G112" s="303">
        <f t="shared" si="46"/>
        <v>0</v>
      </c>
      <c r="H112" s="303">
        <f t="shared" si="46"/>
        <v>0</v>
      </c>
      <c r="I112" s="303">
        <f t="shared" si="46"/>
        <v>0</v>
      </c>
      <c r="J112" s="303">
        <f t="shared" si="46"/>
        <v>0</v>
      </c>
      <c r="K112" s="303">
        <f t="shared" si="46"/>
        <v>43</v>
      </c>
      <c r="L112" s="303">
        <f t="shared" si="46"/>
        <v>0</v>
      </c>
      <c r="M112" s="303">
        <f t="shared" si="46"/>
        <v>1</v>
      </c>
      <c r="N112" s="303">
        <f t="shared" si="46"/>
        <v>0</v>
      </c>
      <c r="O112" s="303">
        <f t="shared" si="46"/>
        <v>1</v>
      </c>
      <c r="P112" s="303">
        <f t="shared" si="46"/>
        <v>0</v>
      </c>
      <c r="Q112" s="303">
        <f t="shared" si="46"/>
        <v>0</v>
      </c>
      <c r="R112" s="303">
        <f t="shared" si="46"/>
        <v>0</v>
      </c>
      <c r="S112" s="323">
        <f t="shared" si="46"/>
        <v>5</v>
      </c>
      <c r="T112" s="303">
        <f t="shared" ref="T112:U112" si="47">SUM(T100:T108)</f>
        <v>1327.2</v>
      </c>
      <c r="U112" s="303">
        <f t="shared" si="47"/>
        <v>448</v>
      </c>
      <c r="V112" s="323"/>
      <c r="W112" s="324"/>
    </row>
    <row r="113" ht="12.75" customHeight="1">
      <c r="A113" s="308"/>
      <c r="B113" s="309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9"/>
      <c r="T113" s="300"/>
      <c r="U113" s="300"/>
      <c r="V113" s="309"/>
      <c r="W113" s="310"/>
    </row>
    <row r="114" ht="12.75" customHeight="1">
      <c r="A114" s="308"/>
      <c r="B114" s="312" t="s">
        <v>164</v>
      </c>
      <c r="D114" s="313" t="s">
        <v>136</v>
      </c>
      <c r="E114" s="314"/>
      <c r="F114" s="315">
        <v>23.0</v>
      </c>
      <c r="G114" s="316"/>
      <c r="H114" s="317"/>
      <c r="I114" s="313" t="s">
        <v>137</v>
      </c>
      <c r="J114" s="314"/>
      <c r="K114" s="315">
        <v>4.0</v>
      </c>
      <c r="S114" s="308"/>
      <c r="V114" s="308"/>
      <c r="W114" s="318"/>
    </row>
    <row r="115" ht="12.75" customHeight="1">
      <c r="A115" s="308"/>
      <c r="B115" s="308"/>
      <c r="C115" s="303" t="str">
        <f>Jahr!C3</f>
        <v>FI</v>
      </c>
      <c r="D115" s="303" t="str">
        <f>Jahr!D3</f>
        <v>FII</v>
      </c>
      <c r="E115" s="303" t="str">
        <f>Jahr!E3</f>
        <v>SI</v>
      </c>
      <c r="F115" s="303" t="str">
        <f>Jahr!F3</f>
        <v>NI</v>
      </c>
      <c r="G115" s="303" t="str">
        <f>Jahr!G3</f>
        <v>DI</v>
      </c>
      <c r="H115" s="303" t="str">
        <f>Jahr!H3</f>
        <v>DII</v>
      </c>
      <c r="I115" s="303" t="str">
        <f>Jahr!I3</f>
        <v>SD</v>
      </c>
      <c r="J115" s="303" t="str">
        <f>Jahr!J3</f>
        <v>GT</v>
      </c>
      <c r="K115" s="303" t="str">
        <f>Jahr!K3</f>
        <v>U</v>
      </c>
      <c r="L115" s="303" t="str">
        <f>Jahr!L3</f>
        <v>EH</v>
      </c>
      <c r="M115" s="303" t="str">
        <f>Jahr!M3</f>
        <v>KT</v>
      </c>
      <c r="N115" s="303" t="str">
        <f>Jahr!N3</f>
        <v>Sek</v>
      </c>
      <c r="O115" s="303" t="str">
        <f>Jahr!O3</f>
        <v>Fobi</v>
      </c>
      <c r="P115" s="303" t="str">
        <f>Jahr!P3</f>
        <v>A</v>
      </c>
      <c r="Q115" s="303" t="str">
        <f>Jahr!Q3</f>
        <v>Kur</v>
      </c>
      <c r="R115" s="303" t="str">
        <f>Jahr!R3</f>
        <v>FZC</v>
      </c>
      <c r="S115" s="303" t="str">
        <f>Jahr!S3</f>
        <v>NST</v>
      </c>
      <c r="T115" s="358" t="s">
        <v>144</v>
      </c>
      <c r="U115" s="358" t="s">
        <v>145</v>
      </c>
      <c r="V115" s="323" t="s">
        <v>146</v>
      </c>
      <c r="W115" s="324" t="s">
        <v>147</v>
      </c>
    </row>
    <row r="116" ht="12.75" customHeight="1">
      <c r="A116" s="308"/>
      <c r="B116" s="329" t="str">
        <f t="shared" ref="B116:B126" si="48">B4</f>
        <v>Breig</v>
      </c>
      <c r="C116" s="302">
        <f>SUMPRODUCT((ISNUMBER(SEARCH($Y3,Dienstplan!$B$25:$B$36))*(ISNUMBER(SEARCH($AB$3,Dienstplan!$AH$25:$BL$36)))))-D116</f>
        <v>0</v>
      </c>
      <c r="D116" s="302">
        <f>SUMPRODUCT((ISNUMBER(SEARCH($Y3,Dienstplan!$B$25:$B$36))*(ISNUMBER(SEARCH($AB$4,Dienstplan!$AH$25:$BL$36)))))</f>
        <v>0</v>
      </c>
      <c r="E116" s="302">
        <f>SUMPRODUCT((ISNUMBER(SEARCH($Y3,Dienstplan!$B$25:$B$36))*(ISNUMBER(SEARCH($AB$5,Dienstplan!$AH$25:$BL$36)))))</f>
        <v>0</v>
      </c>
      <c r="F116" s="302">
        <f>SUMPRODUCT((ISNUMBER(SEARCH($Y3,Dienstplan!$B$25:$B$36))*(ISNUMBER(SEARCH($AB$6,Dienstplan!$AH$25:$BL$36)))))</f>
        <v>5</v>
      </c>
      <c r="G116" s="302">
        <f>SUMPRODUCT((ISNUMBER(SEARCH($Y3,Dienstplan!$B$25:$B$36))*(ISNUMBER(SEARCH($AB$7,Dienstplan!$AH$25:$BL$36)))))-H116</f>
        <v>0</v>
      </c>
      <c r="H116" s="302">
        <f>SUMPRODUCT((ISNUMBER(SEARCH($Y3,Dienstplan!$B$25:$B$36))*(ISNUMBER(SEARCH($AB$8,Dienstplan!$AH$25:$BL$36)))))</f>
        <v>0</v>
      </c>
      <c r="I116" s="302">
        <f>SUMPRODUCT((ISNUMBER(SEARCH($Y3,Dienstplan!$B$25:$B$36))*(ISNUMBER(SEARCH($AB$9,Dienstplan!$AH$25:$BL$36)))))</f>
        <v>0</v>
      </c>
      <c r="J116" s="302">
        <f>SUMPRODUCT((ISNUMBER(SEARCH($Y3,Dienstplan!$B$25:$B$36))*(ISNUMBER(SEARCH($AB$10,Dienstplan!$AH$25:$BL$36)))))</f>
        <v>0</v>
      </c>
      <c r="K116" s="302">
        <f>SUMPRODUCT((ISNUMBER(SEARCH($Y3,Dienstplan!$B$25:$B$36))*(ISNUMBER(SEARCH($AB$11,Dienstplan!$AH$25:$BL$36)))))-$Q116</f>
        <v>11</v>
      </c>
      <c r="L116" s="302">
        <f>SUMPRODUCT((ISNUMBER(SEARCH($Y3,Dienstplan!$B$25:$B$36))*(ISNUMBER(SEARCH($AB$12,Dienstplan!$AH$25:$BL$36)))))</f>
        <v>0</v>
      </c>
      <c r="M116" s="302">
        <f>SUMPRODUCT((ISNUMBER(SEARCH($Y3,Dienstplan!$B$25:$B$36))*(ISNUMBER(SEARCH($AB$13,Dienstplan!$AH$25:$BL$36)))))</f>
        <v>0</v>
      </c>
      <c r="N116" s="302">
        <f>SUMPRODUCT((ISNUMBER(SEARCH($Y3,Dienstplan!$B$25:$B$36))*(ISNUMBER(SEARCH($AB$14,Dienstplan!$AH$25:$BL$36)))))</f>
        <v>0</v>
      </c>
      <c r="O116" s="302">
        <f>SUMPRODUCT((ISNUMBER(SEARCH($Y3,Dienstplan!$B$25:$B$36))*(ISNUMBER(SEARCH($AB$15,Dienstplan!$AH$25:$BL$36)))))</f>
        <v>0</v>
      </c>
      <c r="P116" s="302">
        <f>SUMPRODUCT((ISNUMBER(SEARCH($Y3,Dienstplan!$B$25:$B$36))*(ISNUMBER(SEARCH($AB$16,Dienstplan!$AH$25:$BL$36)))))</f>
        <v>0</v>
      </c>
      <c r="Q116" s="302">
        <f>SUMPRODUCT((ISNUMBER(SEARCH($Y3,Dienstplan!$B$25:$B$36))*(ISNUMBER(SEARCH($AB$17,Dienstplan!$AH$25:$BL$36)))))</f>
        <v>0</v>
      </c>
      <c r="R116" s="302">
        <f>SUMPRODUCT((ISNUMBER(SEARCH($Y3,Dienstplan!$B$25:$B$36))*(ISNUMBER(SEARCH($AB$18,Dienstplan!$AH$25:$BL$36)))))</f>
        <v>0</v>
      </c>
      <c r="S116" s="308">
        <f>SUMPRODUCT((ISNUMBER(SEARCH($Y3,Dienstplan!$B$25:$B$36))*(ISNUMBER(SEARCH($AB$19,Dienstplan!$AH$25:$BL$36)))))</f>
        <v>1</v>
      </c>
      <c r="T116" s="302">
        <f t="shared" ref="T116:T126" si="49">SUM($F$114*$Z3)</f>
        <v>184</v>
      </c>
      <c r="U116" s="330">
        <f>SUM($C116*Frueh_1+$D116*Spaet_1+$E116*Nacht_1+$F116*Normal_1+$I116*Sonderd_1-$J116*Velten+$K116*Velten+$L116*EH_Kurs+$M116*Koor_taet+$N116*Sekre_1+$O116*Velten+$R116*Velten+$P116*Velten+$Q116*Velten+G116*Velt_M+H116*Velt_M)</f>
        <v>125.5</v>
      </c>
      <c r="V116" s="308">
        <f t="shared" ref="V116:V126" si="50">SUM($U116-$T116)</f>
        <v>-58.5</v>
      </c>
      <c r="W116" s="318">
        <f t="shared" ref="W116:W126" si="51">V116+W100</f>
        <v>-502</v>
      </c>
    </row>
    <row r="117" ht="12.75" customHeight="1">
      <c r="A117" s="308"/>
      <c r="B117" s="329" t="str">
        <f t="shared" si="48"/>
        <v>Siebert</v>
      </c>
      <c r="C117" s="302">
        <f>SUMPRODUCT((ISNUMBER(SEARCH($Y4,Dienstplan!$B$25:$B$36))*(ISNUMBER(SEARCH($AB$3,Dienstplan!$AH$25:$BL$36)))))-D117</f>
        <v>0</v>
      </c>
      <c r="D117" s="302">
        <f>SUMPRODUCT((ISNUMBER(SEARCH($Y4,Dienstplan!$B$25:$B$36))*(ISNUMBER(SEARCH($AB$4,Dienstplan!$AH$25:$BL$36)))))</f>
        <v>0</v>
      </c>
      <c r="E117" s="302">
        <f>SUMPRODUCT((ISNUMBER(SEARCH($Y4,Dienstplan!$B$25:$B$36))*(ISNUMBER(SEARCH($AB$5,Dienstplan!$AH$25:$BL$36)))))</f>
        <v>0</v>
      </c>
      <c r="F117" s="302">
        <f>SUMPRODUCT((ISNUMBER(SEARCH($Y4,Dienstplan!$B$25:$B$36))*(ISNUMBER(SEARCH($AB$6,Dienstplan!$AH$25:$BL$36)))))</f>
        <v>5</v>
      </c>
      <c r="G117" s="302">
        <f>SUMPRODUCT((ISNUMBER(SEARCH($Y4,Dienstplan!$B$25:$B$36))*(ISNUMBER(SEARCH($AB$7,Dienstplan!$AH$25:$BL$36)))))-H117</f>
        <v>0</v>
      </c>
      <c r="H117" s="302">
        <f>SUMPRODUCT((ISNUMBER(SEARCH($Y4,Dienstplan!$B$25:$B$36))*(ISNUMBER(SEARCH($AB$8,Dienstplan!$AH$25:$BL$36)))))</f>
        <v>0</v>
      </c>
      <c r="I117" s="302">
        <f>SUMPRODUCT((ISNUMBER(SEARCH($Y4,Dienstplan!$B$25:$B$36))*(ISNUMBER(SEARCH($AB$9,Dienstplan!$AH$25:$BL$36)))))</f>
        <v>0</v>
      </c>
      <c r="J117" s="302">
        <f>SUMPRODUCT((ISNUMBER(SEARCH($Y4,Dienstplan!$B$25:$B$36))*(ISNUMBER(SEARCH($AB$10,Dienstplan!$AH$25:$BL$36)))))</f>
        <v>0</v>
      </c>
      <c r="K117" s="302">
        <f>SUMPRODUCT((ISNUMBER(SEARCH($Y4,Dienstplan!$B$25:$B$36))*(ISNUMBER(SEARCH($AB$11,Dienstplan!$AH$25:$BL$36)))))-$Q117</f>
        <v>0</v>
      </c>
      <c r="L117" s="302">
        <f>SUMPRODUCT((ISNUMBER(SEARCH($Y4,Dienstplan!$B$25:$B$36))*(ISNUMBER(SEARCH($AB$12,Dienstplan!$AH$25:$BL$36)))))</f>
        <v>0</v>
      </c>
      <c r="M117" s="302">
        <f>SUMPRODUCT((ISNUMBER(SEARCH($Y4,Dienstplan!$B$25:$B$36))*(ISNUMBER(SEARCH($AB$13,Dienstplan!$AH$25:$BL$36)))))</f>
        <v>0</v>
      </c>
      <c r="N117" s="302">
        <f>SUMPRODUCT((ISNUMBER(SEARCH($Y4,Dienstplan!$B$25:$B$36))*(ISNUMBER(SEARCH($AB$14,Dienstplan!$AH$25:$BL$36)))))</f>
        <v>0</v>
      </c>
      <c r="O117" s="302">
        <f>SUMPRODUCT((ISNUMBER(SEARCH($Y4,Dienstplan!$B$25:$B$36))*(ISNUMBER(SEARCH($AB$15,Dienstplan!$AH$25:$BL$36)))))</f>
        <v>0</v>
      </c>
      <c r="P117" s="302">
        <f>SUMPRODUCT((ISNUMBER(SEARCH($Y4,Dienstplan!$B$25:$B$36))*(ISNUMBER(SEARCH($AB$16,Dienstplan!$AH$25:$BL$36)))))</f>
        <v>0</v>
      </c>
      <c r="Q117" s="302">
        <f>SUMPRODUCT((ISNUMBER(SEARCH($Y4,Dienstplan!$B$25:$B$36))*(ISNUMBER(SEARCH($AB$17,Dienstplan!$AH$25:$BL$36)))))</f>
        <v>0</v>
      </c>
      <c r="R117" s="302">
        <f>SUMPRODUCT((ISNUMBER(SEARCH($Y4,Dienstplan!$B$25:$B$36))*(ISNUMBER(SEARCH($AB$18,Dienstplan!$AH$25:$BL$36)))))</f>
        <v>0</v>
      </c>
      <c r="S117" s="308">
        <f>SUMPRODUCT((ISNUMBER(SEARCH($Y4,Dienstplan!$B$25:$B$36))*(ISNUMBER(SEARCH($AB$19,Dienstplan!$AH$25:$BL$36)))))</f>
        <v>1</v>
      </c>
      <c r="T117" s="302">
        <f t="shared" si="49"/>
        <v>161</v>
      </c>
      <c r="U117" s="330">
        <f>SUM($C117*Frueh_1+$D117*Spaet_1+$E117*Nacht_1+$F117*Normal_1+$I117*Sonderd_1-$J117*Brue_H+$K117*Brue_H+$L117*EH_Kurs+$M117*Koor_taet+$N117*Sekre_1+$O117*Brue_H+$R117*Brue_H+$P117*Brue_H+$Q117*Brue_H+G117*Brue_H+H117*Brue_H)</f>
        <v>37.5</v>
      </c>
      <c r="V117" s="308">
        <f t="shared" si="50"/>
        <v>-123.5</v>
      </c>
      <c r="W117" s="318">
        <f t="shared" si="51"/>
        <v>-426.75</v>
      </c>
    </row>
    <row r="118" ht="12.75" customHeight="1">
      <c r="A118" s="308"/>
      <c r="B118" s="329" t="str">
        <f t="shared" si="48"/>
        <v>Jochim</v>
      </c>
      <c r="C118" s="302">
        <f>SUMPRODUCT((ISNUMBER(SEARCH($Y5,Dienstplan!$B$25:$B$36))*(ISNUMBER(SEARCH($AB$3,Dienstplan!$AH$25:$BL$36)))))-D118</f>
        <v>0</v>
      </c>
      <c r="D118" s="302">
        <f>SUMPRODUCT((ISNUMBER(SEARCH($Y5,Dienstplan!$B$25:$B$36))*(ISNUMBER(SEARCH($AB$4,Dienstplan!$AH$25:$BL$36)))))</f>
        <v>0</v>
      </c>
      <c r="E118" s="302">
        <f>SUMPRODUCT((ISNUMBER(SEARCH($Y5,Dienstplan!$B$25:$B$36))*(ISNUMBER(SEARCH($AB$5,Dienstplan!$AH$25:$BL$36)))))</f>
        <v>0</v>
      </c>
      <c r="F118" s="302">
        <f>SUMPRODUCT((ISNUMBER(SEARCH($Y5,Dienstplan!$B$25:$B$36))*(ISNUMBER(SEARCH($AB$6,Dienstplan!$AH$25:$BL$36)))))</f>
        <v>0</v>
      </c>
      <c r="G118" s="302">
        <f>SUMPRODUCT((ISNUMBER(SEARCH($Y5,Dienstplan!$B$25:$B$36))*(ISNUMBER(SEARCH($AB$7,Dienstplan!$AH$25:$BL$36)))))-H118</f>
        <v>0</v>
      </c>
      <c r="H118" s="302">
        <f>SUMPRODUCT((ISNUMBER(SEARCH($Y5,Dienstplan!$B$25:$B$36))*(ISNUMBER(SEARCH($AB$8,Dienstplan!$AH$25:$BL$36)))))</f>
        <v>0</v>
      </c>
      <c r="I118" s="302">
        <f>SUMPRODUCT((ISNUMBER(SEARCH($Y5,Dienstplan!$B$25:$B$36))*(ISNUMBER(SEARCH($AB$9,Dienstplan!$AH$25:$BL$36)))))</f>
        <v>0</v>
      </c>
      <c r="J118" s="302">
        <f>SUMPRODUCT((ISNUMBER(SEARCH($Y5,Dienstplan!$B$25:$B$36))*(ISNUMBER(SEARCH($AB$10,Dienstplan!$AH$25:$BL$36)))))</f>
        <v>0</v>
      </c>
      <c r="K118" s="302">
        <f>SUMPRODUCT((ISNUMBER(SEARCH($Y5,Dienstplan!$B$25:$B$36))*(ISNUMBER(SEARCH($AB$11,Dienstplan!$AH$25:$BL$36)))))-$Q118</f>
        <v>0</v>
      </c>
      <c r="L118" s="302">
        <f>SUMPRODUCT((ISNUMBER(SEARCH($Y5,Dienstplan!$B$25:$B$36))*(ISNUMBER(SEARCH($AB$12,Dienstplan!$AH$25:$BL$36)))))</f>
        <v>0</v>
      </c>
      <c r="M118" s="302">
        <f>SUMPRODUCT((ISNUMBER(SEARCH($Y5,Dienstplan!$B$25:$B$36))*(ISNUMBER(SEARCH($AB$13,Dienstplan!$AH$25:$BL$36)))))</f>
        <v>0</v>
      </c>
      <c r="N118" s="302">
        <f>SUMPRODUCT((ISNUMBER(SEARCH($Y5,Dienstplan!$B$25:$B$36))*(ISNUMBER(SEARCH($AB$14,Dienstplan!$AH$25:$BL$36)))))</f>
        <v>0</v>
      </c>
      <c r="O118" s="302">
        <f>SUMPRODUCT((ISNUMBER(SEARCH($Y5,Dienstplan!$B$25:$B$36))*(ISNUMBER(SEARCH($AB$15,Dienstplan!$AH$25:$BL$36)))))</f>
        <v>0</v>
      </c>
      <c r="P118" s="302">
        <f>SUMPRODUCT((ISNUMBER(SEARCH($Y5,Dienstplan!$B$25:$B$36))*(ISNUMBER(SEARCH($AB$16,Dienstplan!$AH$25:$BL$36)))))</f>
        <v>0</v>
      </c>
      <c r="Q118" s="302">
        <f>SUMPRODUCT((ISNUMBER(SEARCH($Y5,Dienstplan!$B$25:$B$36))*(ISNUMBER(SEARCH($AB$17,Dienstplan!$AH$25:$BL$36)))))</f>
        <v>0</v>
      </c>
      <c r="R118" s="302">
        <f>SUMPRODUCT((ISNUMBER(SEARCH($Y5,Dienstplan!$B$25:$B$36))*(ISNUMBER(SEARCH($AB$18,Dienstplan!$AH$25:$BL$36)))))</f>
        <v>0</v>
      </c>
      <c r="S118" s="308">
        <f>SUMPRODUCT((ISNUMBER(SEARCH($Y5,Dienstplan!$B$25:$B$36))*(ISNUMBER(SEARCH($AB$19,Dienstplan!$AH$25:$BL$36)))))</f>
        <v>0</v>
      </c>
      <c r="T118" s="302">
        <f t="shared" si="49"/>
        <v>161</v>
      </c>
      <c r="U118" s="330">
        <f>SUM($C118*Frueh_1+$D118*Spaet_1+$E118*Nacht_1+$F118*Normal_1+$I118*Sonderd_1-$J118*Rath_M+$K118*Rath_M+$L118*EH_Kurs+$M118*Koor_taet+$N118*Sekre_1+$O118*Rath_M+$R118*Rath_M+$P118*Rath_M+$Q118*Rath_M+G118*Rath_M+H118*Rath_M)</f>
        <v>0</v>
      </c>
      <c r="V118" s="308">
        <f t="shared" si="50"/>
        <v>-161</v>
      </c>
      <c r="W118" s="318">
        <f t="shared" si="51"/>
        <v>-1034.75</v>
      </c>
    </row>
    <row r="119" ht="12.75" customHeight="1">
      <c r="A119" s="308"/>
      <c r="B119" s="329" t="str">
        <f t="shared" si="48"/>
        <v>Wunsch</v>
      </c>
      <c r="C119" s="302">
        <f>SUMPRODUCT((ISNUMBER(SEARCH($Y6,Dienstplan!$B$25:$B$36))*(ISNUMBER(SEARCH($AB$3,Dienstplan!$AH$25:$BL$36)))))-D119</f>
        <v>0</v>
      </c>
      <c r="D119" s="302">
        <f>SUMPRODUCT((ISNUMBER(SEARCH($Y6,Dienstplan!$B$25:$B$36))*(ISNUMBER(SEARCH($AB$4,Dienstplan!$AH$25:$BL$36)))))</f>
        <v>0</v>
      </c>
      <c r="E119" s="302">
        <f>SUMPRODUCT((ISNUMBER(SEARCH($Y6,Dienstplan!$B$25:$B$36))*(ISNUMBER(SEARCH($AB$5,Dienstplan!$AH$25:$BL$36)))))</f>
        <v>0</v>
      </c>
      <c r="F119" s="302">
        <f>SUMPRODUCT((ISNUMBER(SEARCH($Y6,Dienstplan!$B$25:$B$36))*(ISNUMBER(SEARCH($AB$6,Dienstplan!$AH$25:$BL$36)))))</f>
        <v>2</v>
      </c>
      <c r="G119" s="302">
        <f>SUMPRODUCT((ISNUMBER(SEARCH($Y6,Dienstplan!$B$25:$B$36))*(ISNUMBER(SEARCH($AB$7,Dienstplan!$AH$25:$BL$36)))))-H119</f>
        <v>0</v>
      </c>
      <c r="H119" s="302">
        <f>SUMPRODUCT((ISNUMBER(SEARCH($Y6,Dienstplan!$B$25:$B$36))*(ISNUMBER(SEARCH($AB$8,Dienstplan!$AH$25:$BL$36)))))</f>
        <v>0</v>
      </c>
      <c r="I119" s="302">
        <f>SUMPRODUCT((ISNUMBER(SEARCH($Y6,Dienstplan!$B$25:$B$36))*(ISNUMBER(SEARCH($AB$9,Dienstplan!$AH$25:$BL$36)))))</f>
        <v>0</v>
      </c>
      <c r="J119" s="302">
        <f>SUMPRODUCT((ISNUMBER(SEARCH($Y6,Dienstplan!$B$25:$B$36))*(ISNUMBER(SEARCH($AB$10,Dienstplan!$AH$25:$BL$36)))))</f>
        <v>0</v>
      </c>
      <c r="K119" s="302">
        <f>SUMPRODUCT((ISNUMBER(SEARCH($Y6,Dienstplan!$B$25:$B$36))*(ISNUMBER(SEARCH($AB$11,Dienstplan!$AH$25:$BL$36)))))-$Q119</f>
        <v>2</v>
      </c>
      <c r="L119" s="302">
        <f>SUMPRODUCT((ISNUMBER(SEARCH($Y6,Dienstplan!$B$25:$B$36))*(ISNUMBER(SEARCH($AB$12,Dienstplan!$AH$25:$BL$36)))))</f>
        <v>0</v>
      </c>
      <c r="M119" s="302">
        <f>SUMPRODUCT((ISNUMBER(SEARCH($Y6,Dienstplan!$B$25:$B$36))*(ISNUMBER(SEARCH($AB$13,Dienstplan!$AH$25:$BL$36)))))</f>
        <v>0</v>
      </c>
      <c r="N119" s="302">
        <f>SUMPRODUCT((ISNUMBER(SEARCH($Y6,Dienstplan!$B$25:$B$36))*(ISNUMBER(SEARCH($AB$14,Dienstplan!$AH$25:$BL$36)))))</f>
        <v>0</v>
      </c>
      <c r="O119" s="302">
        <f>SUMPRODUCT((ISNUMBER(SEARCH($Y6,Dienstplan!$B$25:$B$36))*(ISNUMBER(SEARCH($AB$15,Dienstplan!$AH$25:$BL$36)))))</f>
        <v>0</v>
      </c>
      <c r="P119" s="302">
        <f>SUMPRODUCT((ISNUMBER(SEARCH($Y6,Dienstplan!$B$25:$B$36))*(ISNUMBER(SEARCH($AB$16,Dienstplan!$AH$25:$BL$36)))))</f>
        <v>0</v>
      </c>
      <c r="Q119" s="302">
        <f>SUMPRODUCT((ISNUMBER(SEARCH($Y6,Dienstplan!$B$25:$B$36))*(ISNUMBER(SEARCH($AB$17,Dienstplan!$AH$25:$BL$36)))))</f>
        <v>0</v>
      </c>
      <c r="R119" s="302">
        <f>SUMPRODUCT((ISNUMBER(SEARCH($Y6,Dienstplan!$B$25:$B$36))*(ISNUMBER(SEARCH($AB$18,Dienstplan!$AH$25:$BL$36)))))</f>
        <v>0</v>
      </c>
      <c r="S119" s="308">
        <f>SUMPRODUCT((ISNUMBER(SEARCH($Y6,Dienstplan!$B$25:$B$36))*(ISNUMBER(SEARCH($AB$19,Dienstplan!$AH$25:$BL$36)))))</f>
        <v>0</v>
      </c>
      <c r="T119" s="302">
        <f t="shared" si="49"/>
        <v>184</v>
      </c>
      <c r="U119" s="330">
        <f>SUM($C119*Frueh_1+$D119*Spaet_1+$E119*Nacht_1+$F119*Normal_1+$I119*Sonderd_1-$J119*Scho_K+$K119*Scho_K+$L119*EH_Kurs+$M119*Koor_taet+$N119*Sekre_1+$O119*Scho_K+$R119*Scho_K+$P119*Scho_K+$Q119*Scho_K+G119*Scho_K+H119*Scho_K)</f>
        <v>31</v>
      </c>
      <c r="V119" s="308">
        <f t="shared" si="50"/>
        <v>-153</v>
      </c>
      <c r="W119" s="318">
        <f t="shared" si="51"/>
        <v>-593</v>
      </c>
    </row>
    <row r="120" ht="12.75" customHeight="1">
      <c r="A120" s="308"/>
      <c r="B120" s="329" t="str">
        <f t="shared" si="48"/>
        <v>Göpfrich</v>
      </c>
      <c r="C120" s="302">
        <f>SUMPRODUCT((ISNUMBER(SEARCH($Y7,Dienstplan!$B$25:$B$36))*(ISNUMBER(SEARCH($AB$3,Dienstplan!$AH$25:$BL$36)))))-D120</f>
        <v>0</v>
      </c>
      <c r="D120" s="302">
        <f>SUMPRODUCT((ISNUMBER(SEARCH($Y7,Dienstplan!$B$25:$B$36))*(ISNUMBER(SEARCH($AB$4,Dienstplan!$AH$25:$BL$36)))))</f>
        <v>0</v>
      </c>
      <c r="E120" s="302">
        <f>SUMPRODUCT((ISNUMBER(SEARCH($Y7,Dienstplan!$B$25:$B$36))*(ISNUMBER(SEARCH($AB$5,Dienstplan!$AH$25:$BL$36)))))</f>
        <v>0</v>
      </c>
      <c r="F120" s="302">
        <f>SUMPRODUCT((ISNUMBER(SEARCH($Y7,Dienstplan!$B$25:$B$36))*(ISNUMBER(SEARCH($AB$6,Dienstplan!$AH$25:$BL$36)))))</f>
        <v>0</v>
      </c>
      <c r="G120" s="302">
        <f>SUMPRODUCT((ISNUMBER(SEARCH($Y7,Dienstplan!$B$25:$B$36))*(ISNUMBER(SEARCH($AB$7,Dienstplan!$AH$25:$BL$36)))))-H120</f>
        <v>0</v>
      </c>
      <c r="H120" s="302">
        <f>SUMPRODUCT((ISNUMBER(SEARCH($Y7,Dienstplan!$B$25:$B$36))*(ISNUMBER(SEARCH($AB$8,Dienstplan!$AH$25:$BL$36)))))</f>
        <v>0</v>
      </c>
      <c r="I120" s="302">
        <f>SUMPRODUCT((ISNUMBER(SEARCH($Y7,Dienstplan!$B$25:$B$36))*(ISNUMBER(SEARCH($AB$9,Dienstplan!$AH$25:$BL$36)))))</f>
        <v>0</v>
      </c>
      <c r="J120" s="302">
        <f>SUMPRODUCT((ISNUMBER(SEARCH($Y7,Dienstplan!$B$25:$B$36))*(ISNUMBER(SEARCH($AB$10,Dienstplan!$AH$25:$BL$36)))))</f>
        <v>0</v>
      </c>
      <c r="K120" s="302">
        <f>SUMPRODUCT((ISNUMBER(SEARCH($Y7,Dienstplan!$B$25:$B$36))*(ISNUMBER(SEARCH($AB$11,Dienstplan!$AH$25:$BL$36)))))-$Q120</f>
        <v>0</v>
      </c>
      <c r="L120" s="302">
        <f>SUMPRODUCT((ISNUMBER(SEARCH($Y7,Dienstplan!$B$25:$B$36))*(ISNUMBER(SEARCH($AB$12,Dienstplan!$AH$25:$BL$36)))))</f>
        <v>0</v>
      </c>
      <c r="M120" s="302">
        <f>SUMPRODUCT((ISNUMBER(SEARCH($Y7,Dienstplan!$B$25:$B$36))*(ISNUMBER(SEARCH($AB$13,Dienstplan!$AH$25:$BL$36)))))</f>
        <v>0</v>
      </c>
      <c r="N120" s="302">
        <f>SUMPRODUCT((ISNUMBER(SEARCH($Y7,Dienstplan!$B$25:$B$36))*(ISNUMBER(SEARCH($AB$14,Dienstplan!$AH$25:$BL$36)))))</f>
        <v>0</v>
      </c>
      <c r="O120" s="302">
        <f>SUMPRODUCT((ISNUMBER(SEARCH($Y7,Dienstplan!$B$25:$B$36))*(ISNUMBER(SEARCH($AB$15,Dienstplan!$AH$25:$BL$36)))))</f>
        <v>0</v>
      </c>
      <c r="P120" s="302">
        <f>SUMPRODUCT((ISNUMBER(SEARCH($Y7,Dienstplan!$B$25:$B$36))*(ISNUMBER(SEARCH($AB$16,Dienstplan!$AH$25:$BL$36)))))</f>
        <v>0</v>
      </c>
      <c r="Q120" s="302">
        <f>SUMPRODUCT((ISNUMBER(SEARCH($Y7,Dienstplan!$B$25:$B$36))*(ISNUMBER(SEARCH($AB$17,Dienstplan!$AH$25:$BL$36)))))</f>
        <v>0</v>
      </c>
      <c r="R120" s="302">
        <f>SUMPRODUCT((ISNUMBER(SEARCH($Y7,Dienstplan!$B$25:$B$36))*(ISNUMBER(SEARCH($AB$18,Dienstplan!$AH$25:$BL$36)))))</f>
        <v>0</v>
      </c>
      <c r="S120" s="308">
        <f>SUMPRODUCT((ISNUMBER(SEARCH($Y7,Dienstplan!$B$25:$B$36))*(ISNUMBER(SEARCH($AB$19,Dienstplan!$AH$25:$BL$36)))))</f>
        <v>0</v>
      </c>
      <c r="T120" s="302">
        <f t="shared" si="49"/>
        <v>161</v>
      </c>
      <c r="U120" s="330">
        <f>SUM($C120*Frueh_1+$D120*Spaet_1+$E120*Nacht_1+$F120*Normal_1+$I120*Sonderd_1-$J120*Krie_B+$K120*Krie_B+$L120*EH_Kurs+$M120*Koor_taet+$N120*Sekre_1+$O120*Krie_B+$R120*Krie_B+$P120*Krie_B+$Q120*Krie_B+G120*Krie_B+H120*Z7)</f>
        <v>0</v>
      </c>
      <c r="V120" s="308">
        <f t="shared" si="50"/>
        <v>-161</v>
      </c>
      <c r="W120" s="318">
        <f t="shared" si="51"/>
        <v>-425.25</v>
      </c>
    </row>
    <row r="121" ht="12.75" customHeight="1">
      <c r="A121" s="308"/>
      <c r="B121" s="329" t="str">
        <f t="shared" si="48"/>
        <v>Zeller</v>
      </c>
      <c r="C121" s="302">
        <f>SUMPRODUCT((ISNUMBER(SEARCH($Y8,Dienstplan!$B$25:$B$36))*(ISNUMBER(SEARCH($AB$3,Dienstplan!$AH$25:$BL$36)))))-D121</f>
        <v>0</v>
      </c>
      <c r="D121" s="302">
        <f>SUMPRODUCT((ISNUMBER(SEARCH($Y8,Dienstplan!$B$25:$B$36))*(ISNUMBER(SEARCH($AB$4,Dienstplan!$AH$25:$BL$36)))))</f>
        <v>0</v>
      </c>
      <c r="E121" s="302">
        <f>SUMPRODUCT((ISNUMBER(SEARCH($Y8,Dienstplan!$B$25:$B$36))*(ISNUMBER(SEARCH($AB$5,Dienstplan!$AH$25:$BL$36)))))</f>
        <v>0</v>
      </c>
      <c r="F121" s="302">
        <f>SUMPRODUCT((ISNUMBER(SEARCH($Y8,Dienstplan!$B$25:$B$36))*(ISNUMBER(SEARCH($AB$6,Dienstplan!$AH$25:$BL$36)))))</f>
        <v>5</v>
      </c>
      <c r="G121" s="302">
        <f>SUMPRODUCT((ISNUMBER(SEARCH($Y8,Dienstplan!$B$25:$B$36))*(ISNUMBER(SEARCH($AB$7,Dienstplan!$AH$25:$BL$36)))))-H121</f>
        <v>0</v>
      </c>
      <c r="H121" s="302">
        <f>SUMPRODUCT((ISNUMBER(SEARCH($Y8,Dienstplan!$B$25:$B$36))*(ISNUMBER(SEARCH($AB$8,Dienstplan!$AH$25:$BL$36)))))</f>
        <v>0</v>
      </c>
      <c r="I121" s="302">
        <f>SUMPRODUCT((ISNUMBER(SEARCH($Y8,Dienstplan!$B$25:$B$36))*(ISNUMBER(SEARCH($AB$9,Dienstplan!$AH$25:$BL$36)))))</f>
        <v>0</v>
      </c>
      <c r="J121" s="302">
        <f>SUMPRODUCT((ISNUMBER(SEARCH($Y8,Dienstplan!$B$25:$B$36))*(ISNUMBER(SEARCH($AB$10,Dienstplan!$AH$25:$BL$36)))))</f>
        <v>0</v>
      </c>
      <c r="K121" s="302">
        <f>SUMPRODUCT((ISNUMBER(SEARCH($Y8,Dienstplan!$B$25:$B$36))*(ISNUMBER(SEARCH($AB$11,Dienstplan!$AH$25:$BL$36)))))-$Q121</f>
        <v>0</v>
      </c>
      <c r="L121" s="302">
        <f>SUMPRODUCT((ISNUMBER(SEARCH($Y8,Dienstplan!$B$25:$B$36))*(ISNUMBER(SEARCH($AB$12,Dienstplan!$AH$25:$BL$36)))))</f>
        <v>0</v>
      </c>
      <c r="M121" s="302">
        <f>SUMPRODUCT((ISNUMBER(SEARCH($Y8,Dienstplan!$B$25:$B$36))*(ISNUMBER(SEARCH($AB$13,Dienstplan!$AH$25:$BL$36)))))</f>
        <v>0</v>
      </c>
      <c r="N121" s="302">
        <f>SUMPRODUCT((ISNUMBER(SEARCH($Y8,Dienstplan!$B$25:$B$36))*(ISNUMBER(SEARCH($AB$14,Dienstplan!$AH$25:$BL$36)))))</f>
        <v>0</v>
      </c>
      <c r="O121" s="302">
        <f>SUMPRODUCT((ISNUMBER(SEARCH($Y8,Dienstplan!$B$25:$B$36))*(ISNUMBER(SEARCH($AB$15,Dienstplan!$AH$25:$BL$36)))))</f>
        <v>0</v>
      </c>
      <c r="P121" s="302">
        <f>SUMPRODUCT((ISNUMBER(SEARCH($Y8,Dienstplan!$B$25:$B$36))*(ISNUMBER(SEARCH($AB$16,Dienstplan!$AH$25:$BL$36)))))</f>
        <v>0</v>
      </c>
      <c r="Q121" s="302">
        <f>SUMPRODUCT((ISNUMBER(SEARCH($Y8,Dienstplan!$B$25:$B$36))*(ISNUMBER(SEARCH($AB$17,Dienstplan!$AH$25:$BL$36)))))</f>
        <v>0</v>
      </c>
      <c r="R121" s="302">
        <f>SUMPRODUCT((ISNUMBER(SEARCH($Y8,Dienstplan!$B$25:$B$36))*(ISNUMBER(SEARCH($AB$18,Dienstplan!$AH$25:$BL$36)))))</f>
        <v>0</v>
      </c>
      <c r="S121" s="308">
        <f>SUMPRODUCT((ISNUMBER(SEARCH($Y8,Dienstplan!$B$25:$B$36))*(ISNUMBER(SEARCH($AB$19,Dienstplan!$AH$25:$BL$36)))))</f>
        <v>1</v>
      </c>
      <c r="T121" s="302">
        <f t="shared" si="49"/>
        <v>184</v>
      </c>
      <c r="U121" s="330">
        <f>SUM($C121*Frueh_1+$D121*Spaet_1+$E121*Nacht_1+$F121*Normal_1+$I121*Sonderd_1-$J121*Muster+$K121*Muster+$L121*EH_Kurs+$M121*Koor_taet+$N121*Sekre_1+$O121*Muster+$P121*Muster+$Q121*Muster+$R121*Muster+G121*Muster+H121*Muster)</f>
        <v>37.5</v>
      </c>
      <c r="V121" s="308">
        <f t="shared" si="50"/>
        <v>-146.5</v>
      </c>
      <c r="W121" s="318">
        <f t="shared" si="51"/>
        <v>-626.75</v>
      </c>
    </row>
    <row r="122" ht="12.75" customHeight="1">
      <c r="A122" s="308"/>
      <c r="B122" s="329" t="str">
        <f t="shared" si="48"/>
        <v>Behrendt</v>
      </c>
      <c r="C122" s="302">
        <f>SUMPRODUCT((ISNUMBER(SEARCH($Y9,Dienstplan!$B$25:$B$36))*(ISNUMBER(SEARCH($AB$3,Dienstplan!$AH$25:$BL$36)))))-D122</f>
        <v>0</v>
      </c>
      <c r="D122" s="302">
        <f>SUMPRODUCT((ISNUMBER(SEARCH($Y9,Dienstplan!$B$25:$B$36))*(ISNUMBER(SEARCH($AB$4,Dienstplan!$AH$25:$BL$36)))))</f>
        <v>0</v>
      </c>
      <c r="E122" s="302">
        <f>SUMPRODUCT((ISNUMBER(SEARCH($Y9,Dienstplan!$B$25:$B$36))*(ISNUMBER(SEARCH($AB$5,Dienstplan!$AH$25:$BL$36)))))</f>
        <v>0</v>
      </c>
      <c r="F122" s="302">
        <f>SUMPRODUCT((ISNUMBER(SEARCH($Y9,Dienstplan!$B$25:$B$36))*(ISNUMBER(SEARCH($AB$6,Dienstplan!$AH$25:$BL$36)))))</f>
        <v>5</v>
      </c>
      <c r="G122" s="302">
        <f>SUMPRODUCT((ISNUMBER(SEARCH($Y9,Dienstplan!$B$25:$B$36))*(ISNUMBER(SEARCH($AB$7,Dienstplan!$AH$25:$BL$36)))))-H122</f>
        <v>0</v>
      </c>
      <c r="H122" s="302">
        <f>SUMPRODUCT((ISNUMBER(SEARCH($Y9,Dienstplan!$B$25:$B$36))*(ISNUMBER(SEARCH($AB$8,Dienstplan!$AH$25:$BL$36)))))</f>
        <v>0</v>
      </c>
      <c r="I122" s="302">
        <f>SUMPRODUCT((ISNUMBER(SEARCH($Y9,Dienstplan!$B$25:$B$36))*(ISNUMBER(SEARCH($AB$9,Dienstplan!$AH$25:$BL$36)))))</f>
        <v>0</v>
      </c>
      <c r="J122" s="302">
        <f>SUMPRODUCT((ISNUMBER(SEARCH($Y9,Dienstplan!$B$25:$B$36))*(ISNUMBER(SEARCH($AB$10,Dienstplan!$AH$25:$BL$36)))))</f>
        <v>0</v>
      </c>
      <c r="K122" s="302">
        <f>SUMPRODUCT((ISNUMBER(SEARCH($Y9,Dienstplan!$B$25:$B$36))*(ISNUMBER(SEARCH($AB$11,Dienstplan!$AH$25:$BL$36)))))-$Q122</f>
        <v>5</v>
      </c>
      <c r="L122" s="302">
        <f>SUMPRODUCT((ISNUMBER(SEARCH($Y9,Dienstplan!$B$25:$B$36))*(ISNUMBER(SEARCH($AB$12,Dienstplan!$AH$25:$BL$36)))))</f>
        <v>0</v>
      </c>
      <c r="M122" s="302">
        <f>SUMPRODUCT((ISNUMBER(SEARCH($Y9,Dienstplan!$B$25:$B$36))*(ISNUMBER(SEARCH($AB$13,Dienstplan!$AH$25:$BL$36)))))</f>
        <v>0</v>
      </c>
      <c r="N122" s="302">
        <f>SUMPRODUCT((ISNUMBER(SEARCH($Y9,Dienstplan!$B$25:$B$36))*(ISNUMBER(SEARCH($AB$14,Dienstplan!$AH$25:$BL$36)))))</f>
        <v>0</v>
      </c>
      <c r="O122" s="302">
        <f>SUMPRODUCT((ISNUMBER(SEARCH($Y9,Dienstplan!$B$25:$B$36))*(ISNUMBER(SEARCH($AB$15,Dienstplan!$AH$25:$BL$36)))))</f>
        <v>0</v>
      </c>
      <c r="P122" s="302">
        <f>SUMPRODUCT((ISNUMBER(SEARCH($Y9,Dienstplan!$B$25:$B$36))*(ISNUMBER(SEARCH($AB$16,Dienstplan!$AH$25:$BL$36)))))</f>
        <v>0</v>
      </c>
      <c r="Q122" s="302">
        <f>SUMPRODUCT((ISNUMBER(SEARCH($Y9,Dienstplan!$B$25:$B$36))*(ISNUMBER(SEARCH($AB$17,Dienstplan!$AH$25:$BL$36)))))</f>
        <v>0</v>
      </c>
      <c r="R122" s="302">
        <f>SUMPRODUCT((ISNUMBER(SEARCH($Y9,Dienstplan!$B$25:$B$36))*(ISNUMBER(SEARCH($AB$18,Dienstplan!$AH$25:$BL$36)))))</f>
        <v>0</v>
      </c>
      <c r="S122" s="308">
        <f>SUMPRODUCT((ISNUMBER(SEARCH($Y9,Dienstplan!$B$25:$B$36))*(ISNUMBER(SEARCH($AB$19,Dienstplan!$AH$25:$BL$36)))))</f>
        <v>1</v>
      </c>
      <c r="T122" s="302">
        <f t="shared" si="49"/>
        <v>161</v>
      </c>
      <c r="U122" s="330">
        <f>SUM($C122*Frueh_1+$D122*Spaet_1+$E122*Nacht_1+$F122*Normal_1+$I122*Sonderd_1-$J122*Muster+$K122*Muster+$L122*EH_Kurs+$M122*Koor_taet+$N122*Sekre_1+$O122*Muster+$P122*Muster+$Q122*Muster+$R122*Muster+G122*Muster+H122*Muster)</f>
        <v>77.5</v>
      </c>
      <c r="V122" s="308">
        <f t="shared" si="50"/>
        <v>-83.5</v>
      </c>
      <c r="W122" s="318">
        <f t="shared" si="51"/>
        <v>-536.95</v>
      </c>
    </row>
    <row r="123" ht="12.75" customHeight="1">
      <c r="A123" s="308"/>
      <c r="B123" s="329" t="str">
        <f t="shared" si="48"/>
        <v>Krempl</v>
      </c>
      <c r="C123" s="302">
        <f>SUMPRODUCT((ISNUMBER(SEARCH($Y10,Dienstplan!$B$25:$B$36))*(ISNUMBER(SEARCH($AB$3,Dienstplan!$AH$25:$BL$36)))))-D123</f>
        <v>0</v>
      </c>
      <c r="D123" s="302">
        <f>SUMPRODUCT((ISNUMBER(SEARCH($Y10,Dienstplan!$B$25:$B$36))*(ISNUMBER(SEARCH($AB$4,Dienstplan!$AH$25:$BL$36)))))</f>
        <v>0</v>
      </c>
      <c r="E123" s="302">
        <f>SUMPRODUCT((ISNUMBER(SEARCH($Y10,Dienstplan!$B$25:$B$36))*(ISNUMBER(SEARCH($AB$5,Dienstplan!$AH$25:$BL$36)))))</f>
        <v>0</v>
      </c>
      <c r="F123" s="302">
        <f>SUMPRODUCT((ISNUMBER(SEARCH($Y10,Dienstplan!$B$25:$B$36))*(ISNUMBER(SEARCH($AB$6,Dienstplan!$AH$25:$BL$36)))))</f>
        <v>0</v>
      </c>
      <c r="G123" s="302">
        <f>SUMPRODUCT((ISNUMBER(SEARCH($Y10,Dienstplan!$B$25:$B$36))*(ISNUMBER(SEARCH($AB$7,Dienstplan!$AH$25:$BL$36)))))-H123</f>
        <v>0</v>
      </c>
      <c r="H123" s="302">
        <f>SUMPRODUCT((ISNUMBER(SEARCH($Y10,Dienstplan!$B$25:$B$36))*(ISNUMBER(SEARCH($AB$8,Dienstplan!$AH$25:$BL$36)))))</f>
        <v>0</v>
      </c>
      <c r="I123" s="302">
        <f>SUMPRODUCT((ISNUMBER(SEARCH($Y10,Dienstplan!$B$25:$B$36))*(ISNUMBER(SEARCH($AB$9,Dienstplan!$AH$25:$BL$36)))))</f>
        <v>0</v>
      </c>
      <c r="J123" s="302">
        <f>SUMPRODUCT((ISNUMBER(SEARCH($Y10,Dienstplan!$B$25:$B$36))*(ISNUMBER(SEARCH($AB$10,Dienstplan!$AH$25:$BL$36)))))</f>
        <v>0</v>
      </c>
      <c r="K123" s="302">
        <f>SUMPRODUCT((ISNUMBER(SEARCH($Y10,Dienstplan!$B$25:$B$36))*(ISNUMBER(SEARCH($AB$11,Dienstplan!$AH$25:$BL$36)))))-$Q123</f>
        <v>15</v>
      </c>
      <c r="L123" s="302">
        <f>SUMPRODUCT((ISNUMBER(SEARCH($Y10,Dienstplan!$B$25:$B$36))*(ISNUMBER(SEARCH($AB$12,Dienstplan!$AH$25:$BL$36)))))</f>
        <v>0</v>
      </c>
      <c r="M123" s="302">
        <f>SUMPRODUCT((ISNUMBER(SEARCH($Y10,Dienstplan!$B$25:$B$36))*(ISNUMBER(SEARCH($AB$13,Dienstplan!$AH$25:$BL$36)))))</f>
        <v>0</v>
      </c>
      <c r="N123" s="302">
        <f>SUMPRODUCT((ISNUMBER(SEARCH($Y10,Dienstplan!$B$25:$B$36))*(ISNUMBER(SEARCH($AB$14,Dienstplan!$AH$25:$BL$36)))))</f>
        <v>0</v>
      </c>
      <c r="O123" s="302">
        <f>SUMPRODUCT((ISNUMBER(SEARCH($Y10,Dienstplan!$B$25:$B$36))*(ISNUMBER(SEARCH($AB$15,Dienstplan!$AH$25:$BL$36)))))</f>
        <v>0</v>
      </c>
      <c r="P123" s="302">
        <f>SUMPRODUCT((ISNUMBER(SEARCH($Y10,Dienstplan!$B$25:$B$36))*(ISNUMBER(SEARCH($AB$16,Dienstplan!$AH$25:$BL$36)))))</f>
        <v>0</v>
      </c>
      <c r="Q123" s="302">
        <f>SUMPRODUCT((ISNUMBER(SEARCH($Y10,Dienstplan!$B$25:$B$36))*(ISNUMBER(SEARCH($AB$17,Dienstplan!$AH$25:$BL$36)))))</f>
        <v>0</v>
      </c>
      <c r="R123" s="302">
        <f>SUMPRODUCT((ISNUMBER(SEARCH($Y10,Dienstplan!$B$25:$B$36))*(ISNUMBER(SEARCH($AB$18,Dienstplan!$AH$25:$BL$36)))))</f>
        <v>0</v>
      </c>
      <c r="S123" s="308">
        <f>SUMPRODUCT((ISNUMBER(SEARCH($Y10,Dienstplan!$B$25:$B$36))*(ISNUMBER(SEARCH($AB$19,Dienstplan!$AH$25:$BL$36)))))</f>
        <v>0</v>
      </c>
      <c r="T123" s="302">
        <f t="shared" si="49"/>
        <v>73.6</v>
      </c>
      <c r="U123" s="330">
        <f>SUM($C123*Frueh_1+$D123*Spaet_1+$E123*Nacht_1+$F123*Normal_1+$I123*Sonderd_1-$J123*Krem_E+$K123*Krem_E+$L123*EH_Kurs+$M123*Koor_taet+$N123*Sekre_1+$O123*Krem_E+$R123*Krem_E+$P123*Krem_E+$Q123*Krem_E+G123*Krem_E+H123*Krem_E)</f>
        <v>48</v>
      </c>
      <c r="V123" s="308">
        <f t="shared" si="50"/>
        <v>-25.6</v>
      </c>
      <c r="W123" s="318">
        <f t="shared" si="51"/>
        <v>-383.9</v>
      </c>
    </row>
    <row r="124" ht="12.75" customHeight="1">
      <c r="A124" s="308"/>
      <c r="B124" s="329" t="str">
        <f t="shared" si="48"/>
        <v>Putschler</v>
      </c>
      <c r="C124" s="302">
        <f>SUMPRODUCT((ISNUMBER(SEARCH($Y11,Dienstplan!$B$25:$B$36))*(ISNUMBER(SEARCH($AB$3,Dienstplan!$AH$25:$BL$36)))))-D124</f>
        <v>0</v>
      </c>
      <c r="D124" s="302">
        <f>SUMPRODUCT((ISNUMBER(SEARCH($Y11,Dienstplan!$B$25:$B$36))*(ISNUMBER(SEARCH($AB$4,Dienstplan!$AH$25:$BL$36)))))</f>
        <v>0</v>
      </c>
      <c r="E124" s="302">
        <f>SUMPRODUCT((ISNUMBER(SEARCH($Y11,Dienstplan!$B$25:$B$36))*(ISNUMBER(SEARCH($AB$5,Dienstplan!$AH$25:$BL$36)))))</f>
        <v>0</v>
      </c>
      <c r="F124" s="302">
        <f>SUMPRODUCT((ISNUMBER(SEARCH($Y11,Dienstplan!$B$25:$B$36))*(ISNUMBER(SEARCH($AB$6,Dienstplan!$AH$25:$BL$36)))))</f>
        <v>0</v>
      </c>
      <c r="G124" s="302">
        <f>SUMPRODUCT((ISNUMBER(SEARCH($Y11,Dienstplan!$B$25:$B$36))*(ISNUMBER(SEARCH($AB$7,Dienstplan!$AH$25:$BL$36)))))-H124</f>
        <v>0</v>
      </c>
      <c r="H124" s="302">
        <f>SUMPRODUCT((ISNUMBER(SEARCH($Y11,Dienstplan!$B$25:$B$36))*(ISNUMBER(SEARCH($AB$8,Dienstplan!$AH$25:$BL$36)))))</f>
        <v>0</v>
      </c>
      <c r="I124" s="302">
        <f>SUMPRODUCT((ISNUMBER(SEARCH($Y11,Dienstplan!$B$25:$B$36))*(ISNUMBER(SEARCH($AB$9,Dienstplan!$AH$25:$BL$36)))))</f>
        <v>0</v>
      </c>
      <c r="J124" s="302">
        <f>SUMPRODUCT((ISNUMBER(SEARCH($Y11,Dienstplan!$B$25:$B$36))*(ISNUMBER(SEARCH($AB$10,Dienstplan!$AH$25:$BL$36)))))</f>
        <v>0</v>
      </c>
      <c r="K124" s="302">
        <f>SUMPRODUCT((ISNUMBER(SEARCH($Y11,Dienstplan!$B$25:$B$36))*(ISNUMBER(SEARCH($AB$11,Dienstplan!$AH$25:$BL$36)))))-$Q124</f>
        <v>5</v>
      </c>
      <c r="L124" s="302">
        <f>SUMPRODUCT((ISNUMBER(SEARCH($Y11,Dienstplan!$B$25:$B$36))*(ISNUMBER(SEARCH($AB$12,Dienstplan!$AH$25:$BL$36)))))</f>
        <v>0</v>
      </c>
      <c r="M124" s="302">
        <f>SUMPRODUCT((ISNUMBER(SEARCH($Y11,Dienstplan!$B$25:$B$36))*(ISNUMBER(SEARCH($AB$13,Dienstplan!$AH$25:$BL$36)))))</f>
        <v>0</v>
      </c>
      <c r="N124" s="302">
        <f>SUMPRODUCT((ISNUMBER(SEARCH($Y11,Dienstplan!$B$25:$B$36))*(ISNUMBER(SEARCH($AB$14,Dienstplan!$AH$25:$BL$36)))))</f>
        <v>0</v>
      </c>
      <c r="O124" s="302">
        <f>SUMPRODUCT((ISNUMBER(SEARCH($Y11,Dienstplan!$B$25:$B$36))*(ISNUMBER(SEARCH($AB$15,Dienstplan!$AH$25:$BL$36)))))</f>
        <v>0</v>
      </c>
      <c r="P124" s="302">
        <f>SUMPRODUCT((ISNUMBER(SEARCH($Y11,Dienstplan!$B$25:$B$36))*(ISNUMBER(SEARCH($AB$16,Dienstplan!$AH$25:$BL$36)))))</f>
        <v>0</v>
      </c>
      <c r="Q124" s="302">
        <f>SUMPRODUCT((ISNUMBER(SEARCH($Y11,Dienstplan!$B$25:$B$36))*(ISNUMBER(SEARCH($AB$17,Dienstplan!$AH$25:$BL$36)))))</f>
        <v>0</v>
      </c>
      <c r="R124" s="302">
        <f>SUMPRODUCT((ISNUMBER(SEARCH($Y11,Dienstplan!$B$25:$B$36))*(ISNUMBER(SEARCH($AB$18,Dienstplan!$AH$25:$BL$36)))))</f>
        <v>0</v>
      </c>
      <c r="S124" s="308">
        <f>SUMPRODUCT((ISNUMBER(SEARCH($Y11,Dienstplan!$B$25:$B$36))*(ISNUMBER(SEARCH($AB$19,Dienstplan!$AH$25:$BL$36)))))</f>
        <v>0</v>
      </c>
      <c r="T124" s="302">
        <f t="shared" si="49"/>
        <v>184</v>
      </c>
      <c r="U124" s="330">
        <f>SUM($C124*Frueh_1+$D124*Spaet_1+$E124*Nacht_1+$F124*Normal_1+$I124*Sonderd_1-$J124*Put_W+$K124*Put_W+$L124*EH_Kurs+$M124*Koor_taet+$N124*Sekre_1+$O124*Put_W+$R124*Put_W+$P124*Put_W+$Q124*Put_W+G124*Put_W+H124*Put_W)</f>
        <v>40</v>
      </c>
      <c r="V124" s="308">
        <f t="shared" si="50"/>
        <v>-144</v>
      </c>
      <c r="W124" s="318">
        <f t="shared" si="51"/>
        <v>-800</v>
      </c>
    </row>
    <row r="125" ht="12.75" customHeight="1">
      <c r="A125" s="308"/>
      <c r="B125" s="329" t="str">
        <f t="shared" si="48"/>
        <v>Schmidt</v>
      </c>
      <c r="C125" s="302">
        <f>SUMPRODUCT((ISNUMBER(SEARCH($Y12,Dienstplan!$B$25:$B$36))*(ISNUMBER(SEARCH($AB$3,Dienstplan!$AH$25:$BL$36)))))-D125</f>
        <v>0</v>
      </c>
      <c r="D125" s="302">
        <f>SUMPRODUCT((ISNUMBER(SEARCH($Y12,Dienstplan!$B$25:$B$36))*(ISNUMBER(SEARCH($AB$4,Dienstplan!$AH$25:$BL$36)))))</f>
        <v>0</v>
      </c>
      <c r="E125" s="302">
        <f>SUMPRODUCT((ISNUMBER(SEARCH($Y12,Dienstplan!$B$25:$B$36))*(ISNUMBER(SEARCH($AB$5,Dienstplan!$AH$25:$BL$36)))))</f>
        <v>0</v>
      </c>
      <c r="F125" s="302">
        <f>SUMPRODUCT((ISNUMBER(SEARCH($Y12,Dienstplan!$B$25:$B$36))*(ISNUMBER(SEARCH($AB$6,Dienstplan!$AH$25:$BL$36)))))</f>
        <v>0</v>
      </c>
      <c r="G125" s="302">
        <f>SUMPRODUCT((ISNUMBER(SEARCH($Y12,Dienstplan!$B$25:$B$36))*(ISNUMBER(SEARCH($AB$7,Dienstplan!$AH$25:$BL$36)))))-H125</f>
        <v>0</v>
      </c>
      <c r="H125" s="302">
        <f>SUMPRODUCT((ISNUMBER(SEARCH($Y12,Dienstplan!$B$25:$B$36))*(ISNUMBER(SEARCH($AB$8,Dienstplan!$AH$25:$BL$36)))))</f>
        <v>0</v>
      </c>
      <c r="I125" s="302">
        <f>SUMPRODUCT((ISNUMBER(SEARCH($Y12,Dienstplan!$B$25:$B$36))*(ISNUMBER(SEARCH($AB$9,Dienstplan!$AH$25:$BL$36)))))</f>
        <v>0</v>
      </c>
      <c r="J125" s="302">
        <f>SUMPRODUCT((ISNUMBER(SEARCH($Y12,Dienstplan!$B$25:$B$36))*(ISNUMBER(SEARCH($AB$10,Dienstplan!$AH$25:$BL$36)))))</f>
        <v>0</v>
      </c>
      <c r="K125" s="302">
        <f>SUMPRODUCT((ISNUMBER(SEARCH($Y12,Dienstplan!$B$25:$B$36))*(ISNUMBER(SEARCH($AB$11,Dienstplan!$AH$25:$BL$36)))))-$Q125</f>
        <v>2</v>
      </c>
      <c r="L125" s="302">
        <f>SUMPRODUCT((ISNUMBER(SEARCH($Y12,Dienstplan!$B$25:$B$36))*(ISNUMBER(SEARCH($AB$12,Dienstplan!$AH$25:$BL$36)))))</f>
        <v>0</v>
      </c>
      <c r="M125" s="302">
        <f>SUMPRODUCT((ISNUMBER(SEARCH($Y12,Dienstplan!$B$25:$B$36))*(ISNUMBER(SEARCH($AB$13,Dienstplan!$AH$25:$BL$36)))))</f>
        <v>0</v>
      </c>
      <c r="N125" s="302">
        <f>SUMPRODUCT((ISNUMBER(SEARCH($Y12,Dienstplan!$B$25:$B$36))*(ISNUMBER(SEARCH($AB$14,Dienstplan!$AH$25:$BL$36)))))</f>
        <v>0</v>
      </c>
      <c r="O125" s="302">
        <f>SUMPRODUCT((ISNUMBER(SEARCH($Y12,Dienstplan!$B$25:$B$36))*(ISNUMBER(SEARCH($AB$15,Dienstplan!$AH$25:$BL$36)))))</f>
        <v>0</v>
      </c>
      <c r="P125" s="302">
        <f>SUMPRODUCT((ISNUMBER(SEARCH($Y12,Dienstplan!$B$25:$B$36))*(ISNUMBER(SEARCH($AB$16,Dienstplan!$AH$25:$BL$36)))))</f>
        <v>0</v>
      </c>
      <c r="Q125" s="302">
        <f>SUMPRODUCT((ISNUMBER(SEARCH($Y12,Dienstplan!$B$25:$B$36))*(ISNUMBER(SEARCH($AB$17,Dienstplan!$AH$25:$BL$36)))))</f>
        <v>0</v>
      </c>
      <c r="R125" s="302">
        <f>SUMPRODUCT((ISNUMBER(SEARCH($Y12,Dienstplan!$B$25:$B$36))*(ISNUMBER(SEARCH($AB$18,Dienstplan!$AH$25:$BL$36)))))</f>
        <v>0</v>
      </c>
      <c r="S125" s="308">
        <f>SUMPRODUCT((ISNUMBER(SEARCH($Y12,Dienstplan!$B$25:$B$36))*(ISNUMBER(SEARCH($AB$19,Dienstplan!$AH$25:$BL$36)))))</f>
        <v>0</v>
      </c>
      <c r="T125" s="302">
        <f t="shared" si="49"/>
        <v>161</v>
      </c>
      <c r="U125" s="330">
        <f>SUM($C125*Frueh_1+$D125*Spaet_1+$E125*Nacht_1+$F125*Normal_1+$I125*Sonderd_1-$J125*Radi_L+$K125*Radi_L+$L125*EH_Kurs+$M125*Koor_taet+$N125*Sekre_1+$O125*Radi_L+$R125*Radi_L+$P125*Radi_L+$Q125*Radi_L+G125*Radi_L+H125*Radi_L)</f>
        <v>14</v>
      </c>
      <c r="V125" s="308">
        <f t="shared" si="50"/>
        <v>-147</v>
      </c>
      <c r="W125" s="318">
        <f t="shared" si="51"/>
        <v>-1001</v>
      </c>
    </row>
    <row r="126" ht="12.75" customHeight="1">
      <c r="A126" s="308"/>
      <c r="B126" s="329" t="str">
        <f t="shared" si="48"/>
        <v>Radimersky</v>
      </c>
      <c r="C126" s="302">
        <f>SUMPRODUCT((ISNUMBER(SEARCH($Y13,Dienstplan!$B$25:$B$36))*(ISNUMBER(SEARCH($AB$3,Dienstplan!$AH$25:$BL$36)))))-D126</f>
        <v>0</v>
      </c>
      <c r="D126" s="302">
        <f>SUMPRODUCT((ISNUMBER(SEARCH($Y13,Dienstplan!$B$25:$B$36))*(ISNUMBER(SEARCH($AB$4,Dienstplan!$AH$25:$BL$36)))))</f>
        <v>0</v>
      </c>
      <c r="E126" s="302">
        <f>SUMPRODUCT((ISNUMBER(SEARCH($Y13,Dienstplan!$B$25:$B$36))*(ISNUMBER(SEARCH($AB$5,Dienstplan!$AH$25:$BL$36)))))</f>
        <v>0</v>
      </c>
      <c r="F126" s="302">
        <f>SUMPRODUCT((ISNUMBER(SEARCH($Y13,Dienstplan!$B$25:$B$36))*(ISNUMBER(SEARCH($AB$6,Dienstplan!$AH$25:$BL$36)))))</f>
        <v>0</v>
      </c>
      <c r="G126" s="302">
        <f>SUMPRODUCT((ISNUMBER(SEARCH($Y13,Dienstplan!$B$25:$B$36))*(ISNUMBER(SEARCH($AB$7,Dienstplan!$AH$25:$BL$36)))))-H126</f>
        <v>0</v>
      </c>
      <c r="H126" s="302">
        <f>SUMPRODUCT((ISNUMBER(SEARCH($Y13,Dienstplan!$B$25:$B$36))*(ISNUMBER(SEARCH($AB$8,Dienstplan!$AH$25:$BL$36)))))</f>
        <v>0</v>
      </c>
      <c r="I126" s="302">
        <f>SUMPRODUCT((ISNUMBER(SEARCH($Y13,Dienstplan!$B$25:$B$36))*(ISNUMBER(SEARCH($AB$9,Dienstplan!$AH$25:$BL$36)))))</f>
        <v>0</v>
      </c>
      <c r="J126" s="302">
        <f>SUMPRODUCT((ISNUMBER(SEARCH($Y13,Dienstplan!$B$25:$B$36))*(ISNUMBER(SEARCH($AB$10,Dienstplan!$AH$25:$BL$36)))))</f>
        <v>0</v>
      </c>
      <c r="K126" s="302">
        <f>SUMPRODUCT((ISNUMBER(SEARCH($Y13,Dienstplan!$B$25:$B$36))*(ISNUMBER(SEARCH($AB$11,Dienstplan!$AH$25:$BL$36)))))-$Q126</f>
        <v>11</v>
      </c>
      <c r="L126" s="302">
        <f>SUMPRODUCT((ISNUMBER(SEARCH($Y13,Dienstplan!$B$25:$B$36))*(ISNUMBER(SEARCH($AB$12,Dienstplan!$AH$25:$BL$36)))))</f>
        <v>0</v>
      </c>
      <c r="M126" s="302">
        <f>SUMPRODUCT((ISNUMBER(SEARCH($Y13,Dienstplan!$B$25:$B$36))*(ISNUMBER(SEARCH($AB$13,Dienstplan!$AH$25:$BL$36)))))</f>
        <v>0</v>
      </c>
      <c r="N126" s="302">
        <f>SUMPRODUCT((ISNUMBER(SEARCH($Y13,Dienstplan!$B$25:$B$36))*(ISNUMBER(SEARCH($AB$14,Dienstplan!$AH$25:$BL$36)))))</f>
        <v>0</v>
      </c>
      <c r="O126" s="302">
        <f>SUMPRODUCT((ISNUMBER(SEARCH($Y13,Dienstplan!$B$25:$B$36))*(ISNUMBER(SEARCH($AB$15,Dienstplan!$AH$25:$BL$36)))))</f>
        <v>0</v>
      </c>
      <c r="P126" s="302">
        <f>SUMPRODUCT((ISNUMBER(SEARCH($Y13,Dienstplan!$B$25:$B$36))*(ISNUMBER(SEARCH($AB$16,Dienstplan!$AH$25:$BL$36)))))</f>
        <v>0</v>
      </c>
      <c r="Q126" s="302">
        <f>SUMPRODUCT((ISNUMBER(SEARCH($Y13,Dienstplan!$B$25:$B$36))*(ISNUMBER(SEARCH($AB$17,Dienstplan!$AH$25:$BL$36)))))</f>
        <v>0</v>
      </c>
      <c r="R126" s="302">
        <f>SUMPRODUCT((ISNUMBER(SEARCH($Y13,Dienstplan!$B$25:$B$36))*(ISNUMBER(SEARCH($AB$18,Dienstplan!$AH$25:$BL$36)))))</f>
        <v>0</v>
      </c>
      <c r="S126" s="308">
        <f>SUMPRODUCT((ISNUMBER(SEARCH($Y13,Dienstplan!$B$25:$B$36))*(ISNUMBER(SEARCH($AB$19,Dienstplan!$AH$25:$BL$36)))))</f>
        <v>0</v>
      </c>
      <c r="T126" s="302">
        <f t="shared" si="49"/>
        <v>69</v>
      </c>
      <c r="U126" s="330">
        <f>SUM($C126*Frueh_1+$D126*Spaet_1+$E126*Nacht_1+$F126*Normal_1+$I126*Sonderd_1-$J126*Fortenb+$K126*Fortenb+$L126*EH_Kurs+$M126*Koor_taet+$N126*Sekre_1+$O126*Fortenb+$R126*Fortenb+$P126*Fortenb+$Q126*Fortenb+G126*Fortenb+H126*Fortenb)</f>
        <v>33</v>
      </c>
      <c r="V126" s="308">
        <f t="shared" si="50"/>
        <v>-36</v>
      </c>
      <c r="W126" s="318">
        <f t="shared" si="51"/>
        <v>-420</v>
      </c>
    </row>
    <row r="127" ht="12.75" customHeight="1">
      <c r="A127" s="308"/>
      <c r="B127" s="329"/>
      <c r="V127" s="308"/>
      <c r="W127" s="318"/>
    </row>
    <row r="128" ht="12.75" customHeight="1">
      <c r="A128" s="308"/>
      <c r="B128" s="329" t="s">
        <v>134</v>
      </c>
      <c r="C128" s="303">
        <f t="shared" ref="C128:S128" si="52">SUM(C116:C127)</f>
        <v>0</v>
      </c>
      <c r="D128" s="303">
        <f t="shared" si="52"/>
        <v>0</v>
      </c>
      <c r="E128" s="303">
        <f t="shared" si="52"/>
        <v>0</v>
      </c>
      <c r="F128" s="303">
        <f t="shared" si="52"/>
        <v>22</v>
      </c>
      <c r="G128" s="303">
        <f t="shared" si="52"/>
        <v>0</v>
      </c>
      <c r="H128" s="303">
        <f t="shared" si="52"/>
        <v>0</v>
      </c>
      <c r="I128" s="303">
        <f t="shared" si="52"/>
        <v>0</v>
      </c>
      <c r="J128" s="303">
        <f t="shared" si="52"/>
        <v>0</v>
      </c>
      <c r="K128" s="303">
        <f t="shared" si="52"/>
        <v>51</v>
      </c>
      <c r="L128" s="303">
        <f t="shared" si="52"/>
        <v>0</v>
      </c>
      <c r="M128" s="303">
        <f t="shared" si="52"/>
        <v>0</v>
      </c>
      <c r="N128" s="303">
        <f t="shared" si="52"/>
        <v>0</v>
      </c>
      <c r="O128" s="303">
        <f t="shared" si="52"/>
        <v>0</v>
      </c>
      <c r="P128" s="303">
        <f t="shared" si="52"/>
        <v>0</v>
      </c>
      <c r="Q128" s="303">
        <f t="shared" si="52"/>
        <v>0</v>
      </c>
      <c r="R128" s="303">
        <f t="shared" si="52"/>
        <v>0</v>
      </c>
      <c r="S128" s="303">
        <f t="shared" si="52"/>
        <v>4</v>
      </c>
      <c r="T128" s="303">
        <f t="shared" ref="T128:U128" si="53">SUM(T116:T124)</f>
        <v>1453.6</v>
      </c>
      <c r="U128" s="303">
        <f t="shared" si="53"/>
        <v>397</v>
      </c>
      <c r="V128" s="323"/>
      <c r="W128" s="324"/>
    </row>
    <row r="129" ht="12.75" customHeight="1">
      <c r="A129" s="308"/>
      <c r="B129" s="309"/>
      <c r="C129" s="300"/>
      <c r="D129" s="300"/>
      <c r="E129" s="300"/>
      <c r="F129" s="300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/>
      <c r="Q129" s="300"/>
      <c r="R129" s="300"/>
      <c r="S129" s="309"/>
      <c r="T129" s="300"/>
      <c r="U129" s="300"/>
      <c r="V129" s="309"/>
      <c r="W129" s="310"/>
    </row>
    <row r="130" ht="12.75" customHeight="1">
      <c r="A130" s="308"/>
      <c r="B130" s="312" t="s">
        <v>165</v>
      </c>
      <c r="D130" s="313" t="s">
        <v>136</v>
      </c>
      <c r="E130" s="314"/>
      <c r="F130" s="315">
        <v>21.0</v>
      </c>
      <c r="G130" s="316"/>
      <c r="H130" s="317"/>
      <c r="I130" s="313" t="s">
        <v>137</v>
      </c>
      <c r="J130" s="314"/>
      <c r="K130" s="315">
        <v>5.0</v>
      </c>
      <c r="S130" s="308"/>
      <c r="V130" s="308"/>
      <c r="W130" s="318"/>
    </row>
    <row r="131" ht="12.75" customHeight="1">
      <c r="A131" s="308"/>
      <c r="B131" s="308"/>
      <c r="C131" s="303" t="str">
        <f>Jahr!C3</f>
        <v>FI</v>
      </c>
      <c r="D131" s="303" t="str">
        <f>Jahr!D3</f>
        <v>FII</v>
      </c>
      <c r="E131" s="303" t="str">
        <f>Jahr!E3</f>
        <v>SI</v>
      </c>
      <c r="F131" s="303" t="str">
        <f>Jahr!F3</f>
        <v>NI</v>
      </c>
      <c r="G131" s="303" t="str">
        <f>Jahr!G3</f>
        <v>DI</v>
      </c>
      <c r="H131" s="303" t="str">
        <f>Jahr!H3</f>
        <v>DII</v>
      </c>
      <c r="I131" s="303" t="str">
        <f>Jahr!I3</f>
        <v>SD</v>
      </c>
      <c r="J131" s="303" t="str">
        <f>Jahr!J3</f>
        <v>GT</v>
      </c>
      <c r="K131" s="303" t="str">
        <f>Jahr!K3</f>
        <v>U</v>
      </c>
      <c r="L131" s="303" t="str">
        <f>Jahr!L3</f>
        <v>EH</v>
      </c>
      <c r="M131" s="303" t="str">
        <f>Jahr!M3</f>
        <v>KT</v>
      </c>
      <c r="N131" s="303" t="str">
        <f>Jahr!N3</f>
        <v>Sek</v>
      </c>
      <c r="O131" s="303" t="str">
        <f>Jahr!O3</f>
        <v>Fobi</v>
      </c>
      <c r="P131" s="303" t="str">
        <f>Jahr!P3</f>
        <v>A</v>
      </c>
      <c r="Q131" s="303" t="str">
        <f>Jahr!Q3</f>
        <v>Kur</v>
      </c>
      <c r="R131" s="303" t="str">
        <f>Jahr!R3</f>
        <v>FZC</v>
      </c>
      <c r="S131" s="303" t="str">
        <f>Jahr!S3</f>
        <v>NST</v>
      </c>
      <c r="T131" s="358" t="s">
        <v>144</v>
      </c>
      <c r="U131" s="358" t="s">
        <v>145</v>
      </c>
      <c r="V131" s="323" t="s">
        <v>146</v>
      </c>
      <c r="W131" s="324" t="s">
        <v>147</v>
      </c>
    </row>
    <row r="132" ht="12.75" customHeight="1">
      <c r="A132" s="308"/>
      <c r="B132" s="329" t="str">
        <f t="shared" ref="B132:B142" si="54">B4</f>
        <v>Breig</v>
      </c>
      <c r="C132" s="302">
        <f>SUMPRODUCT((ISNUMBER(SEARCH($Y3,Dienstplan!$B$25:$B$36))*(ISNUMBER(SEARCH($AB$3,Dienstplan!$BM$25:$CP$36)))))-D132</f>
        <v>0</v>
      </c>
      <c r="D132" s="302">
        <f>SUMPRODUCT((ISNUMBER(SEARCH($Y3,Dienstplan!$B$25:$B$36))*(ISNUMBER(SEARCH($AB$4,Dienstplan!$BM$25:$CP$36)))))</f>
        <v>0</v>
      </c>
      <c r="E132" s="302">
        <f>SUMPRODUCT((ISNUMBER(SEARCH($Y3,Dienstplan!$B$25:$B$36))*(ISNUMBER(SEARCH($AB$5,Dienstplan!$BM$25:$CP$36)))))</f>
        <v>0</v>
      </c>
      <c r="F132" s="302">
        <f>SUMPRODUCT((ISNUMBER(SEARCH($Y3,Dienstplan!$B$25:$B$36))*(ISNUMBER(SEARCH($AB$6,Dienstplan!$BM$25:$CP$36)))))</f>
        <v>4</v>
      </c>
      <c r="G132" s="302">
        <f>SUMPRODUCT((ISNUMBER(SEARCH($Y3,Dienstplan!$B$25:$B$36))*(ISNUMBER(SEARCH($AB$7,Dienstplan!$BM$25:$CP$36)))))-H132</f>
        <v>0</v>
      </c>
      <c r="H132" s="302">
        <f>SUMPRODUCT((ISNUMBER(SEARCH($Y3,Dienstplan!$B$25:$B$36))*(ISNUMBER(SEARCH($AB$8,Dienstplan!$BM$25:$CP$36)))))</f>
        <v>0</v>
      </c>
      <c r="I132" s="302">
        <f>SUMPRODUCT((ISNUMBER(SEARCH($Y3,Dienstplan!$B$25:$B$36))*(ISNUMBER(SEARCH($AB$9,Dienstplan!$BM$25:$CP$36)))))</f>
        <v>0</v>
      </c>
      <c r="J132" s="302">
        <f>SUMPRODUCT((ISNUMBER(SEARCH($Y3,Dienstplan!$B$25:$B$36))*(ISNUMBER(SEARCH($AB$10,Dienstplan!$BM$25:$CP$36)))))</f>
        <v>0</v>
      </c>
      <c r="K132" s="302">
        <f>SUMPRODUCT((ISNUMBER(SEARCH($Y3,Dienstplan!$B$25:$B$36))*(ISNUMBER(SEARCH($AB$11,Dienstplan!$BM$25:$CP$36)))))-$Q132</f>
        <v>9</v>
      </c>
      <c r="L132" s="302">
        <f>SUMPRODUCT((ISNUMBER(SEARCH($Y3,Dienstplan!$B$25:$B$36))*(ISNUMBER(SEARCH($AB$12,Dienstplan!$BM$25:$CP$36)))))</f>
        <v>0</v>
      </c>
      <c r="M132" s="302">
        <f>SUMPRODUCT((ISNUMBER(SEARCH($Y3,Dienstplan!$B$25:$B$36))*(ISNUMBER(SEARCH($AB$13,Dienstplan!$BM$25:$CP$36)))))</f>
        <v>0</v>
      </c>
      <c r="N132" s="302">
        <f>SUMPRODUCT((ISNUMBER(SEARCH($Y3,Dienstplan!$B$25:$B$36))*(ISNUMBER(SEARCH($AB$14,Dienstplan!$BM$25:$CP$36)))))</f>
        <v>0</v>
      </c>
      <c r="O132" s="302">
        <f>SUMPRODUCT((ISNUMBER(SEARCH($Y3,Dienstplan!$B$25:$B$36))*(ISNUMBER(SEARCH($AB$15,Dienstplan!$BM$25:$CP$36)))))</f>
        <v>0</v>
      </c>
      <c r="P132" s="302">
        <f>SUMPRODUCT((ISNUMBER(SEARCH($Y3,Dienstplan!$B$25:$B$36))*(ISNUMBER(SEARCH($AB$16,Dienstplan!$BM$25:$CP$36)))))</f>
        <v>0</v>
      </c>
      <c r="Q132" s="302">
        <f>SUMPRODUCT((ISNUMBER(SEARCH($Y3,Dienstplan!$B$25:$B$36))*(ISNUMBER(SEARCH($AB$17,Dienstplan!$BM$25:$CP$36)))))</f>
        <v>0</v>
      </c>
      <c r="R132" s="302">
        <f>SUMPRODUCT((ISNUMBER(SEARCH($Y3,Dienstplan!$B$25:$B$36))*(ISNUMBER(SEARCH($AB$18,Dienstplan!$BM$25:$CP$36)))))</f>
        <v>0</v>
      </c>
      <c r="S132" s="308">
        <f>SUMPRODUCT((ISNUMBER(SEARCH($Y3,Dienstplan!$B$25:$B$36))*(ISNUMBER(SEARCH($AB$19,Dienstplan!$BM$25:$CP$36)))))</f>
        <v>0</v>
      </c>
      <c r="T132" s="302">
        <f t="shared" ref="T132:T142" si="55">SUM($F$130*$Z3)</f>
        <v>168</v>
      </c>
      <c r="U132" s="330">
        <f>SUM($C132*Frueh_1+$D132*Spaet_1+$E132*Nacht_1+$F132*Normal_1+$I132*Sonderd_1-$J132*Velten+$K132*Velten+$L132*EH_Kurs+$M132*Koor_taet+$N132*Sekre_1+$O132*Velten+$R132*Velten+$P132*Velten+$Q132*Velten+G132*Velt_M+H132*Velt_M)</f>
        <v>102</v>
      </c>
      <c r="V132" s="308">
        <f t="shared" ref="V132:V142" si="56">SUM($U132-$T132)</f>
        <v>-66</v>
      </c>
      <c r="W132" s="318">
        <f t="shared" ref="W132:W142" si="57">V132+W116</f>
        <v>-568</v>
      </c>
    </row>
    <row r="133" ht="12.75" customHeight="1">
      <c r="A133" s="308"/>
      <c r="B133" s="329" t="str">
        <f t="shared" si="54"/>
        <v>Siebert</v>
      </c>
      <c r="C133" s="302">
        <f>SUMPRODUCT((ISNUMBER(SEARCH($Y4,Dienstplan!$B$25:$B$36))*(ISNUMBER(SEARCH($AB$3,Dienstplan!$BM$25:$CP$36)))))-D133</f>
        <v>0</v>
      </c>
      <c r="D133" s="302">
        <f>SUMPRODUCT((ISNUMBER(SEARCH($Y4,Dienstplan!$B$25:$B$36))*(ISNUMBER(SEARCH($AB$4,Dienstplan!$BM$25:$CP$36)))))</f>
        <v>0</v>
      </c>
      <c r="E133" s="302">
        <f>SUMPRODUCT((ISNUMBER(SEARCH($Y4,Dienstplan!$B$25:$B$36))*(ISNUMBER(SEARCH($AB$5,Dienstplan!$BM$25:$CP$36)))))</f>
        <v>0</v>
      </c>
      <c r="F133" s="302">
        <f>SUMPRODUCT((ISNUMBER(SEARCH($Y4,Dienstplan!$B$25:$B$36))*(ISNUMBER(SEARCH($AB$6,Dienstplan!$BM$25:$CP$36)))))</f>
        <v>5</v>
      </c>
      <c r="G133" s="302">
        <f>SUMPRODUCT((ISNUMBER(SEARCH($Y4,Dienstplan!$B$25:$B$36))*(ISNUMBER(SEARCH($AB$7,Dienstplan!$BM$25:$CP$36)))))-H133</f>
        <v>0</v>
      </c>
      <c r="H133" s="302">
        <f>SUMPRODUCT((ISNUMBER(SEARCH($Y4,Dienstplan!$B$25:$B$36))*(ISNUMBER(SEARCH($AB$8,Dienstplan!$BM$25:$CP$36)))))</f>
        <v>0</v>
      </c>
      <c r="I133" s="302">
        <f>SUMPRODUCT((ISNUMBER(SEARCH($Y4,Dienstplan!$B$25:$B$36))*(ISNUMBER(SEARCH($AB$9,Dienstplan!$BM$25:$CP$36)))))</f>
        <v>0</v>
      </c>
      <c r="J133" s="302">
        <f>SUMPRODUCT((ISNUMBER(SEARCH($Y4,Dienstplan!$B$25:$B$36))*(ISNUMBER(SEARCH($AB$10,Dienstplan!$BM$25:$CP$36)))))</f>
        <v>0</v>
      </c>
      <c r="K133" s="302">
        <f>SUMPRODUCT((ISNUMBER(SEARCH($Y4,Dienstplan!$B$25:$B$36))*(ISNUMBER(SEARCH($AB$11,Dienstplan!$BM$25:$CP$36)))))-$Q133</f>
        <v>0</v>
      </c>
      <c r="L133" s="302">
        <f>SUMPRODUCT((ISNUMBER(SEARCH($Y4,Dienstplan!$B$25:$B$36))*(ISNUMBER(SEARCH($AB$12,Dienstplan!$BM$25:$CP$36)))))</f>
        <v>0</v>
      </c>
      <c r="M133" s="302">
        <f>SUMPRODUCT((ISNUMBER(SEARCH($Y4,Dienstplan!$B$25:$B$36))*(ISNUMBER(SEARCH($AB$13,Dienstplan!$BM$25:$CP$36)))))</f>
        <v>0</v>
      </c>
      <c r="N133" s="302">
        <f>SUMPRODUCT((ISNUMBER(SEARCH($Y4,Dienstplan!$B$25:$B$36))*(ISNUMBER(SEARCH($AB$14,Dienstplan!$BM$25:$CP$36)))))</f>
        <v>0</v>
      </c>
      <c r="O133" s="302">
        <f>SUMPRODUCT((ISNUMBER(SEARCH($Y4,Dienstplan!$B$25:$B$36))*(ISNUMBER(SEARCH($AB$15,Dienstplan!$BM$25:$CP$36)))))</f>
        <v>0</v>
      </c>
      <c r="P133" s="302">
        <f>SUMPRODUCT((ISNUMBER(SEARCH($Y4,Dienstplan!$B$25:$B$36))*(ISNUMBER(SEARCH($AB$16,Dienstplan!$BM$25:$CP$36)))))</f>
        <v>0</v>
      </c>
      <c r="Q133" s="302">
        <f>SUMPRODUCT((ISNUMBER(SEARCH($Y4,Dienstplan!$B$25:$B$36))*(ISNUMBER(SEARCH($AB$17,Dienstplan!$BM$25:$CP$36)))))</f>
        <v>0</v>
      </c>
      <c r="R133" s="302">
        <f>SUMPRODUCT((ISNUMBER(SEARCH($Y4,Dienstplan!$B$25:$B$36))*(ISNUMBER(SEARCH($AB$18,Dienstplan!$BM$25:$CP$36)))))</f>
        <v>0</v>
      </c>
      <c r="S133" s="308">
        <f>SUMPRODUCT((ISNUMBER(SEARCH($Y4,Dienstplan!$B$25:$B$36))*(ISNUMBER(SEARCH($AB$19,Dienstplan!$BM$25:$CP$36)))))</f>
        <v>1</v>
      </c>
      <c r="T133" s="302">
        <f t="shared" si="55"/>
        <v>147</v>
      </c>
      <c r="U133" s="330">
        <f>SUM($C133*Frueh_1+$D133*Spaet_1+$E133*Nacht_1+$F133*Normal_1+$I133*Sonderd_1-$J133*Brue_H+$K133*Brue_H+$L133*EH_Kurs+$M133*Koor_taet+$N133*Sekre_1+$O133*Brue_H+$R133*Brue_H+$P133*Brue_H+$Q133*Brue_H+G133*Brue_H+H133*Brue_H)</f>
        <v>37.5</v>
      </c>
      <c r="V133" s="308">
        <f t="shared" si="56"/>
        <v>-109.5</v>
      </c>
      <c r="W133" s="318">
        <f t="shared" si="57"/>
        <v>-536.25</v>
      </c>
    </row>
    <row r="134" ht="12.75" customHeight="1">
      <c r="A134" s="308"/>
      <c r="B134" s="329" t="str">
        <f t="shared" si="54"/>
        <v>Jochim</v>
      </c>
      <c r="C134" s="302">
        <f>SUMPRODUCT((ISNUMBER(SEARCH($Y5,Dienstplan!$B$25:$B$36))*(ISNUMBER(SEARCH($AB$3,Dienstplan!$BM$25:$CP$36)))))-D134</f>
        <v>0</v>
      </c>
      <c r="D134" s="302">
        <f>SUMPRODUCT((ISNUMBER(SEARCH($Y5,Dienstplan!$B$25:$B$36))*(ISNUMBER(SEARCH($AB$4,Dienstplan!$BM$25:$CP$36)))))</f>
        <v>0</v>
      </c>
      <c r="E134" s="302">
        <f>SUMPRODUCT((ISNUMBER(SEARCH($Y5,Dienstplan!$B$25:$B$36))*(ISNUMBER(SEARCH($AB$5,Dienstplan!$BM$25:$CP$36)))))</f>
        <v>0</v>
      </c>
      <c r="F134" s="302">
        <f>SUMPRODUCT((ISNUMBER(SEARCH($Y5,Dienstplan!$B$25:$B$36))*(ISNUMBER(SEARCH($AB$6,Dienstplan!$BM$25:$CP$36)))))</f>
        <v>0</v>
      </c>
      <c r="G134" s="302">
        <f>SUMPRODUCT((ISNUMBER(SEARCH($Y5,Dienstplan!$B$25:$B$36))*(ISNUMBER(SEARCH($AB$7,Dienstplan!$BM$25:$CP$36)))))-H134</f>
        <v>0</v>
      </c>
      <c r="H134" s="302">
        <f>SUMPRODUCT((ISNUMBER(SEARCH($Y5,Dienstplan!$B$25:$B$36))*(ISNUMBER(SEARCH($AB$8,Dienstplan!$BM$25:$CP$36)))))</f>
        <v>0</v>
      </c>
      <c r="I134" s="302">
        <f>SUMPRODUCT((ISNUMBER(SEARCH($Y5,Dienstplan!$B$25:$B$36))*(ISNUMBER(SEARCH($AB$9,Dienstplan!$BM$25:$CP$36)))))</f>
        <v>0</v>
      </c>
      <c r="J134" s="302">
        <f>SUMPRODUCT((ISNUMBER(SEARCH($Y5,Dienstplan!$B$25:$B$36))*(ISNUMBER(SEARCH($AB$10,Dienstplan!$BM$25:$CP$36)))))</f>
        <v>0</v>
      </c>
      <c r="K134" s="302">
        <f>SUMPRODUCT((ISNUMBER(SEARCH($Y5,Dienstplan!$B$25:$B$36))*(ISNUMBER(SEARCH($AB$11,Dienstplan!$BM$25:$CP$36)))))-$Q134</f>
        <v>0</v>
      </c>
      <c r="L134" s="302">
        <f>SUMPRODUCT((ISNUMBER(SEARCH($Y5,Dienstplan!$B$25:$B$36))*(ISNUMBER(SEARCH($AB$12,Dienstplan!$BM$25:$CP$36)))))</f>
        <v>0</v>
      </c>
      <c r="M134" s="302">
        <f>SUMPRODUCT((ISNUMBER(SEARCH($Y5,Dienstplan!$B$25:$B$36))*(ISNUMBER(SEARCH($AB$13,Dienstplan!$BM$25:$CP$36)))))</f>
        <v>0</v>
      </c>
      <c r="N134" s="302">
        <f>SUMPRODUCT((ISNUMBER(SEARCH($Y5,Dienstplan!$B$25:$B$36))*(ISNUMBER(SEARCH($AB$14,Dienstplan!$BM$25:$CP$36)))))</f>
        <v>0</v>
      </c>
      <c r="O134" s="302">
        <f>SUMPRODUCT((ISNUMBER(SEARCH($Y5,Dienstplan!$B$25:$B$36))*(ISNUMBER(SEARCH($AB$15,Dienstplan!$BM$25:$CP$36)))))</f>
        <v>0</v>
      </c>
      <c r="P134" s="302">
        <f>SUMPRODUCT((ISNUMBER(SEARCH($Y5,Dienstplan!$B$25:$B$36))*(ISNUMBER(SEARCH($AB$16,Dienstplan!$BM$25:$CP$36)))))</f>
        <v>0</v>
      </c>
      <c r="Q134" s="302">
        <f>SUMPRODUCT((ISNUMBER(SEARCH($Y5,Dienstplan!$B$25:$B$36))*(ISNUMBER(SEARCH($AB$17,Dienstplan!$BM$25:$CP$36)))))</f>
        <v>0</v>
      </c>
      <c r="R134" s="302">
        <f>SUMPRODUCT((ISNUMBER(SEARCH($Y5,Dienstplan!$B$25:$B$36))*(ISNUMBER(SEARCH($AB$18,Dienstplan!$BM$25:$CP$36)))))</f>
        <v>0</v>
      </c>
      <c r="S134" s="308">
        <f>SUMPRODUCT((ISNUMBER(SEARCH($Y5,Dienstplan!$B$25:$B$36))*(ISNUMBER(SEARCH($AB$19,Dienstplan!$BM$25:$CP$36)))))</f>
        <v>0</v>
      </c>
      <c r="T134" s="302">
        <f t="shared" si="55"/>
        <v>147</v>
      </c>
      <c r="U134" s="330">
        <f>SUM($C134*Frueh_1+$D134*Spaet_1+$E134*Nacht_1+$F134*Normal_1+$I134*Sonderd_1-$J134*Rath_M+$K134*Rath_M+$L134*EH_Kurs+$M134*Koor_taet+$N134*Sekre_1+$O134*Rath_M+$R134*Rath_M+$P134*Rath_M+$Q134*Rath_M+G134*Rath_M+H134*Rath_M)</f>
        <v>0</v>
      </c>
      <c r="V134" s="308">
        <f t="shared" si="56"/>
        <v>-147</v>
      </c>
      <c r="W134" s="318">
        <f t="shared" si="57"/>
        <v>-1181.75</v>
      </c>
    </row>
    <row r="135" ht="12.75" customHeight="1">
      <c r="A135" s="308"/>
      <c r="B135" s="329" t="str">
        <f t="shared" si="54"/>
        <v>Wunsch</v>
      </c>
      <c r="C135" s="302">
        <f>SUMPRODUCT((ISNUMBER(SEARCH($Y6,Dienstplan!$B$25:$B$36))*(ISNUMBER(SEARCH($AB$3,Dienstplan!$BM$25:$CP$36)))))-D135</f>
        <v>0</v>
      </c>
      <c r="D135" s="302">
        <f>SUMPRODUCT((ISNUMBER(SEARCH($Y6,Dienstplan!$B$25:$B$36))*(ISNUMBER(SEARCH($AB$4,Dienstplan!$BM$25:$CP$36)))))</f>
        <v>0</v>
      </c>
      <c r="E135" s="302">
        <f>SUMPRODUCT((ISNUMBER(SEARCH($Y6,Dienstplan!$B$25:$B$36))*(ISNUMBER(SEARCH($AB$5,Dienstplan!$BM$25:$CP$36)))))</f>
        <v>0</v>
      </c>
      <c r="F135" s="302">
        <f>SUMPRODUCT((ISNUMBER(SEARCH($Y6,Dienstplan!$B$25:$B$36))*(ISNUMBER(SEARCH($AB$6,Dienstplan!$BM$25:$CP$36)))))</f>
        <v>3</v>
      </c>
      <c r="G135" s="302">
        <f>SUMPRODUCT((ISNUMBER(SEARCH($Y6,Dienstplan!$B$25:$B$36))*(ISNUMBER(SEARCH($AB$7,Dienstplan!$BM$25:$CP$36)))))-H135</f>
        <v>0</v>
      </c>
      <c r="H135" s="302">
        <f>SUMPRODUCT((ISNUMBER(SEARCH($Y6,Dienstplan!$B$25:$B$36))*(ISNUMBER(SEARCH($AB$8,Dienstplan!$BM$25:$CP$36)))))</f>
        <v>0</v>
      </c>
      <c r="I135" s="302">
        <f>SUMPRODUCT((ISNUMBER(SEARCH($Y6,Dienstplan!$B$25:$B$36))*(ISNUMBER(SEARCH($AB$9,Dienstplan!$BM$25:$CP$36)))))</f>
        <v>0</v>
      </c>
      <c r="J135" s="302">
        <f>SUMPRODUCT((ISNUMBER(SEARCH($Y6,Dienstplan!$B$25:$B$36))*(ISNUMBER(SEARCH($AB$10,Dienstplan!$BM$25:$CP$36)))))</f>
        <v>0</v>
      </c>
      <c r="K135" s="302">
        <f>SUMPRODUCT((ISNUMBER(SEARCH($Y6,Dienstplan!$B$25:$B$36))*(ISNUMBER(SEARCH($AB$11,Dienstplan!$BM$25:$CP$36)))))-$Q135</f>
        <v>8</v>
      </c>
      <c r="L135" s="302">
        <f>SUMPRODUCT((ISNUMBER(SEARCH($Y6,Dienstplan!$B$25:$B$36))*(ISNUMBER(SEARCH($AB$12,Dienstplan!$BM$25:$CP$36)))))</f>
        <v>0</v>
      </c>
      <c r="M135" s="302">
        <f>SUMPRODUCT((ISNUMBER(SEARCH($Y6,Dienstplan!$B$25:$B$36))*(ISNUMBER(SEARCH($AB$13,Dienstplan!$BM$25:$CP$36)))))</f>
        <v>0</v>
      </c>
      <c r="N135" s="302">
        <f>SUMPRODUCT((ISNUMBER(SEARCH($Y6,Dienstplan!$B$25:$B$36))*(ISNUMBER(SEARCH($AB$14,Dienstplan!$BM$25:$CP$36)))))</f>
        <v>0</v>
      </c>
      <c r="O135" s="302">
        <f>SUMPRODUCT((ISNUMBER(SEARCH($Y6,Dienstplan!$B$25:$B$36))*(ISNUMBER(SEARCH($AB$15,Dienstplan!$BM$25:$CP$36)))))</f>
        <v>0</v>
      </c>
      <c r="P135" s="302">
        <f>SUMPRODUCT((ISNUMBER(SEARCH($Y6,Dienstplan!$B$25:$B$36))*(ISNUMBER(SEARCH($AB$16,Dienstplan!$BM$25:$CP$36)))))</f>
        <v>0</v>
      </c>
      <c r="Q135" s="302">
        <f>SUMPRODUCT((ISNUMBER(SEARCH($Y6,Dienstplan!$B$25:$B$36))*(ISNUMBER(SEARCH($AB$17,Dienstplan!$BM$25:$CP$36)))))</f>
        <v>0</v>
      </c>
      <c r="R135" s="302">
        <f>SUMPRODUCT((ISNUMBER(SEARCH($Y6,Dienstplan!$B$25:$B$36))*(ISNUMBER(SEARCH($AB$18,Dienstplan!$BM$25:$CP$36)))))</f>
        <v>0</v>
      </c>
      <c r="S135" s="308">
        <f>SUMPRODUCT((ISNUMBER(SEARCH($Y6,Dienstplan!$B$25:$B$36))*(ISNUMBER(SEARCH($AB$19,Dienstplan!$BM$25:$CP$36)))))</f>
        <v>1</v>
      </c>
      <c r="T135" s="302">
        <f t="shared" si="55"/>
        <v>168</v>
      </c>
      <c r="U135" s="330">
        <f>SUM($C135*Frueh_1+$D135*Spaet_1+$E135*Nacht_1+$F135*Normal_1+$I135*Sonderd_1-$J135*Scho_K+$K135*Scho_K+$L135*EH_Kurs+$M135*Koor_taet+$N135*Sekre_1+$O135*Scho_K+$R135*Scho_K+$P135*Scho_K+$Q135*Scho_K+G135*Scho_K+H135*Scho_K)</f>
        <v>86.5</v>
      </c>
      <c r="V135" s="308">
        <f t="shared" si="56"/>
        <v>-81.5</v>
      </c>
      <c r="W135" s="318">
        <f t="shared" si="57"/>
        <v>-674.5</v>
      </c>
    </row>
    <row r="136" ht="12.75" customHeight="1">
      <c r="A136" s="308"/>
      <c r="B136" s="329" t="str">
        <f t="shared" si="54"/>
        <v>Göpfrich</v>
      </c>
      <c r="C136" s="302">
        <f>SUMPRODUCT((ISNUMBER(SEARCH($Y7,Dienstplan!$B$25:$B$36))*(ISNUMBER(SEARCH($AB$3,Dienstplan!$BM$25:$CP$36)))))-D136</f>
        <v>0</v>
      </c>
      <c r="D136" s="302">
        <f>SUMPRODUCT((ISNUMBER(SEARCH($Y7,Dienstplan!$B$25:$B$36))*(ISNUMBER(SEARCH($AB$4,Dienstplan!$BM$25:$CP$36)))))</f>
        <v>0</v>
      </c>
      <c r="E136" s="302">
        <f>SUMPRODUCT((ISNUMBER(SEARCH($Y7,Dienstplan!$B$25:$B$36))*(ISNUMBER(SEARCH($AB$5,Dienstplan!$BM$25:$CP$36)))))</f>
        <v>0</v>
      </c>
      <c r="F136" s="302">
        <f>SUMPRODUCT((ISNUMBER(SEARCH($Y7,Dienstplan!$B$25:$B$36))*(ISNUMBER(SEARCH($AB$6,Dienstplan!$BM$25:$CP$36)))))</f>
        <v>5</v>
      </c>
      <c r="G136" s="302">
        <f>SUMPRODUCT((ISNUMBER(SEARCH($Y7,Dienstplan!$B$25:$B$36))*(ISNUMBER(SEARCH($AB$7,Dienstplan!$BM$25:$CP$36)))))-H136</f>
        <v>0</v>
      </c>
      <c r="H136" s="302">
        <f>SUMPRODUCT((ISNUMBER(SEARCH($Y7,Dienstplan!$B$25:$B$36))*(ISNUMBER(SEARCH($AB$8,Dienstplan!$BM$25:$CP$36)))))</f>
        <v>0</v>
      </c>
      <c r="I136" s="302">
        <f>SUMPRODUCT((ISNUMBER(SEARCH($Y7,Dienstplan!$B$25:$B$36))*(ISNUMBER(SEARCH($AB$9,Dienstplan!$BM$25:$CP$36)))))</f>
        <v>0</v>
      </c>
      <c r="J136" s="302">
        <f>SUMPRODUCT((ISNUMBER(SEARCH($Y7,Dienstplan!$B$25:$B$36))*(ISNUMBER(SEARCH($AB$10,Dienstplan!$BM$25:$CP$36)))))</f>
        <v>0</v>
      </c>
      <c r="K136" s="302">
        <f>SUMPRODUCT((ISNUMBER(SEARCH($Y7,Dienstplan!$B$25:$B$36))*(ISNUMBER(SEARCH($AB$11,Dienstplan!$BM$25:$CP$36)))))-$Q136</f>
        <v>5</v>
      </c>
      <c r="L136" s="302">
        <f>SUMPRODUCT((ISNUMBER(SEARCH($Y7,Dienstplan!$B$25:$B$36))*(ISNUMBER(SEARCH($AB$12,Dienstplan!$BM$25:$CP$36)))))</f>
        <v>0</v>
      </c>
      <c r="M136" s="302">
        <f>SUMPRODUCT((ISNUMBER(SEARCH($Y7,Dienstplan!$B$25:$B$36))*(ISNUMBER(SEARCH($AB$13,Dienstplan!$BM$25:$CP$36)))))</f>
        <v>0</v>
      </c>
      <c r="N136" s="302">
        <f>SUMPRODUCT((ISNUMBER(SEARCH($Y7,Dienstplan!$B$25:$B$36))*(ISNUMBER(SEARCH($AB$14,Dienstplan!$BM$25:$CP$36)))))</f>
        <v>0</v>
      </c>
      <c r="O136" s="302">
        <f>SUMPRODUCT((ISNUMBER(SEARCH($Y7,Dienstplan!$B$25:$B$36))*(ISNUMBER(SEARCH($AB$15,Dienstplan!$BM$25:$CP$36)))))</f>
        <v>0</v>
      </c>
      <c r="P136" s="302">
        <f>SUMPRODUCT((ISNUMBER(SEARCH($Y7,Dienstplan!$B$25:$B$36))*(ISNUMBER(SEARCH($AB$16,Dienstplan!$BM$25:$CP$36)))))</f>
        <v>0</v>
      </c>
      <c r="Q136" s="302">
        <f>SUMPRODUCT((ISNUMBER(SEARCH($Y7,Dienstplan!$B$25:$B$36))*(ISNUMBER(SEARCH($AB$17,Dienstplan!$BM$25:$CP$36)))))</f>
        <v>0</v>
      </c>
      <c r="R136" s="302">
        <f>SUMPRODUCT((ISNUMBER(SEARCH($Y7,Dienstplan!$B$25:$B$36))*(ISNUMBER(SEARCH($AB$18,Dienstplan!$BM$25:$CP$36)))))</f>
        <v>0</v>
      </c>
      <c r="S136" s="308">
        <f>SUMPRODUCT((ISNUMBER(SEARCH($Y7,Dienstplan!$B$25:$B$36))*(ISNUMBER(SEARCH($AB$19,Dienstplan!$BM$25:$CP$36)))))</f>
        <v>1</v>
      </c>
      <c r="T136" s="302">
        <f t="shared" si="55"/>
        <v>147</v>
      </c>
      <c r="U136" s="330">
        <f>SUM($C136*Frueh_1+$D136*Spaet_1+$E136*Nacht_1+$F136*Normal_1+$I136*Sonderd_1-$J136*Krie_B+$K136*Krie_B+$L136*EH_Kurs+$M136*Koor_taet+$N136*Sekre_1+$O136*Krie_B+$R136*Krie_B+$P136*Krie_B+$Q136*Krie_B+G136*Krie_B+H136*Krie_B)</f>
        <v>72.5</v>
      </c>
      <c r="V136" s="308">
        <f t="shared" si="56"/>
        <v>-74.5</v>
      </c>
      <c r="W136" s="318">
        <f t="shared" si="57"/>
        <v>-499.75</v>
      </c>
    </row>
    <row r="137" ht="12.75" customHeight="1">
      <c r="A137" s="308"/>
      <c r="B137" s="329" t="str">
        <f t="shared" si="54"/>
        <v>Zeller</v>
      </c>
      <c r="C137" s="302">
        <f>SUMPRODUCT((ISNUMBER(SEARCH($Y8,Dienstplan!$B$25:$B$36))*(ISNUMBER(SEARCH($AB$3,Dienstplan!$BM$25:$CP$36)))))-D137</f>
        <v>0</v>
      </c>
      <c r="D137" s="302">
        <f>SUMPRODUCT((ISNUMBER(SEARCH($Y8,Dienstplan!$B$25:$B$36))*(ISNUMBER(SEARCH($AB$4,Dienstplan!$BM$25:$CP$36)))))</f>
        <v>0</v>
      </c>
      <c r="E137" s="302">
        <f>SUMPRODUCT((ISNUMBER(SEARCH($Y8,Dienstplan!$B$25:$B$36))*(ISNUMBER(SEARCH($AB$5,Dienstplan!$BM$25:$CP$36)))))</f>
        <v>0</v>
      </c>
      <c r="F137" s="302">
        <f>SUMPRODUCT((ISNUMBER(SEARCH($Y8,Dienstplan!$B$25:$B$36))*(ISNUMBER(SEARCH($AB$6,Dienstplan!$BM$25:$CP$36)))))</f>
        <v>0</v>
      </c>
      <c r="G137" s="302">
        <f>SUMPRODUCT((ISNUMBER(SEARCH($Y8,Dienstplan!$B$25:$B$36))*(ISNUMBER(SEARCH($AB$7,Dienstplan!$BM$25:$CP$36)))))-H137</f>
        <v>0</v>
      </c>
      <c r="H137" s="302">
        <f>SUMPRODUCT((ISNUMBER(SEARCH($Y8,Dienstplan!$B$25:$B$36))*(ISNUMBER(SEARCH($AB$8,Dienstplan!$BM$25:$CP$36)))))</f>
        <v>0</v>
      </c>
      <c r="I137" s="302">
        <f>SUMPRODUCT((ISNUMBER(SEARCH($Y8,Dienstplan!$B$25:$B$36))*(ISNUMBER(SEARCH($AB$9,Dienstplan!$BM$25:$CP$36)))))</f>
        <v>0</v>
      </c>
      <c r="J137" s="302">
        <f>SUMPRODUCT((ISNUMBER(SEARCH($Y8,Dienstplan!$B$25:$B$36))*(ISNUMBER(SEARCH($AB$10,Dienstplan!$BM$25:$CP$36)))))</f>
        <v>0</v>
      </c>
      <c r="K137" s="302">
        <f>SUMPRODUCT((ISNUMBER(SEARCH($Y8,Dienstplan!$B$25:$B$36))*(ISNUMBER(SEARCH($AB$11,Dienstplan!$BM$25:$CP$36)))))-$Q137</f>
        <v>10</v>
      </c>
      <c r="L137" s="302">
        <f>SUMPRODUCT((ISNUMBER(SEARCH($Y8,Dienstplan!$B$25:$B$36))*(ISNUMBER(SEARCH($AB$12,Dienstplan!$BM$25:$CP$36)))))</f>
        <v>0</v>
      </c>
      <c r="M137" s="302">
        <f>SUMPRODUCT((ISNUMBER(SEARCH($Y8,Dienstplan!$B$25:$B$36))*(ISNUMBER(SEARCH($AB$13,Dienstplan!$BM$25:$CP$36)))))</f>
        <v>0</v>
      </c>
      <c r="N137" s="302">
        <f>SUMPRODUCT((ISNUMBER(SEARCH($Y8,Dienstplan!$B$25:$B$36))*(ISNUMBER(SEARCH($AB$14,Dienstplan!$BM$25:$CP$36)))))</f>
        <v>0</v>
      </c>
      <c r="O137" s="302">
        <f>SUMPRODUCT((ISNUMBER(SEARCH($Y8,Dienstplan!$B$25:$B$36))*(ISNUMBER(SEARCH($AB$15,Dienstplan!$BM$25:$CP$36)))))</f>
        <v>2</v>
      </c>
      <c r="P137" s="302">
        <f>SUMPRODUCT((ISNUMBER(SEARCH($Y8,Dienstplan!$B$25:$B$36))*(ISNUMBER(SEARCH($AB$16,Dienstplan!$BM$25:$CP$36)))))</f>
        <v>0</v>
      </c>
      <c r="Q137" s="302">
        <f>SUMPRODUCT((ISNUMBER(SEARCH($Y8,Dienstplan!$B$25:$B$36))*(ISNUMBER(SEARCH($AB$17,Dienstplan!$BM$25:$CP$36)))))</f>
        <v>0</v>
      </c>
      <c r="R137" s="302">
        <f>SUMPRODUCT((ISNUMBER(SEARCH($Y8,Dienstplan!$B$25:$B$36))*(ISNUMBER(SEARCH($AB$18,Dienstplan!$BM$25:$CP$36)))))</f>
        <v>0</v>
      </c>
      <c r="S137" s="308">
        <f>SUMPRODUCT((ISNUMBER(SEARCH($Y8,Dienstplan!$B$25:$B$36))*(ISNUMBER(SEARCH($AB$19,Dienstplan!$BM$25:$CP$36)))))</f>
        <v>0</v>
      </c>
      <c r="T137" s="302">
        <f t="shared" si="55"/>
        <v>168</v>
      </c>
      <c r="U137" s="330">
        <f>SUM($C137*Frueh_1+$D137*Spaet_1+$E137*Nacht_1+$F137*Normal_1+$I137*Sonderd_1-$J137*Muster+$K137*Muster+$L137*EH_Kurs+$M137*Koor_taet+$N137*Sekre_1+$O137*Muster+$P137*Muster+$Q137*Muster+$R137*Muster+G137*Muster+H137*Muster)</f>
        <v>96</v>
      </c>
      <c r="V137" s="308">
        <f t="shared" si="56"/>
        <v>-72</v>
      </c>
      <c r="W137" s="318">
        <f t="shared" si="57"/>
        <v>-698.75</v>
      </c>
    </row>
    <row r="138" ht="12.75" customHeight="1">
      <c r="A138" s="308"/>
      <c r="B138" s="329" t="str">
        <f t="shared" si="54"/>
        <v>Behrendt</v>
      </c>
      <c r="C138" s="302">
        <f>SUMPRODUCT((ISNUMBER(SEARCH($Y9,Dienstplan!$B$25:$B$36))*(ISNUMBER(SEARCH($AB$3,Dienstplan!$BM$25:$CP$36)))))-D138</f>
        <v>0</v>
      </c>
      <c r="D138" s="302">
        <f>SUMPRODUCT((ISNUMBER(SEARCH($Y9,Dienstplan!$B$25:$B$36))*(ISNUMBER(SEARCH($AB$4,Dienstplan!$BM$25:$CP$36)))))</f>
        <v>0</v>
      </c>
      <c r="E138" s="302">
        <f>SUMPRODUCT((ISNUMBER(SEARCH($Y9,Dienstplan!$B$25:$B$36))*(ISNUMBER(SEARCH($AB$5,Dienstplan!$BM$25:$CP$36)))))</f>
        <v>0</v>
      </c>
      <c r="F138" s="302">
        <f>SUMPRODUCT((ISNUMBER(SEARCH($Y9,Dienstplan!$B$25:$B$36))*(ISNUMBER(SEARCH($AB$6,Dienstplan!$BM$25:$CP$36)))))</f>
        <v>5</v>
      </c>
      <c r="G138" s="302">
        <f>SUMPRODUCT((ISNUMBER(SEARCH($Y9,Dienstplan!$B$25:$B$36))*(ISNUMBER(SEARCH($AB$7,Dienstplan!$BM$25:$CP$36)))))-H138</f>
        <v>0</v>
      </c>
      <c r="H138" s="302">
        <f>SUMPRODUCT((ISNUMBER(SEARCH($Y9,Dienstplan!$B$25:$B$36))*(ISNUMBER(SEARCH($AB$8,Dienstplan!$BM$25:$CP$36)))))</f>
        <v>0</v>
      </c>
      <c r="I138" s="302">
        <f>SUMPRODUCT((ISNUMBER(SEARCH($Y9,Dienstplan!$B$25:$B$36))*(ISNUMBER(SEARCH($AB$9,Dienstplan!$BM$25:$CP$36)))))</f>
        <v>0</v>
      </c>
      <c r="J138" s="302">
        <f>SUMPRODUCT((ISNUMBER(SEARCH($Y9,Dienstplan!$B$25:$B$36))*(ISNUMBER(SEARCH($AB$10,Dienstplan!$BM$25:$CP$36)))))</f>
        <v>0</v>
      </c>
      <c r="K138" s="302">
        <f>SUMPRODUCT((ISNUMBER(SEARCH($Y9,Dienstplan!$B$25:$B$36))*(ISNUMBER(SEARCH($AB$11,Dienstplan!$BM$25:$CP$36)))))-$Q138</f>
        <v>0</v>
      </c>
      <c r="L138" s="302">
        <f>SUMPRODUCT((ISNUMBER(SEARCH($Y9,Dienstplan!$B$25:$B$36))*(ISNUMBER(SEARCH($AB$12,Dienstplan!$BM$25:$CP$36)))))</f>
        <v>0</v>
      </c>
      <c r="M138" s="302">
        <f>SUMPRODUCT((ISNUMBER(SEARCH($Y9,Dienstplan!$B$25:$B$36))*(ISNUMBER(SEARCH($AB$13,Dienstplan!$BM$25:$CP$36)))))</f>
        <v>0</v>
      </c>
      <c r="N138" s="302">
        <f>SUMPRODUCT((ISNUMBER(SEARCH($Y9,Dienstplan!$B$25:$B$36))*(ISNUMBER(SEARCH($AB$14,Dienstplan!$BM$25:$CP$36)))))</f>
        <v>0</v>
      </c>
      <c r="O138" s="302">
        <f>SUMPRODUCT((ISNUMBER(SEARCH($Y9,Dienstplan!$B$25:$B$36))*(ISNUMBER(SEARCH($AB$15,Dienstplan!$BM$25:$CP$36)))))</f>
        <v>2</v>
      </c>
      <c r="P138" s="302">
        <f>SUMPRODUCT((ISNUMBER(SEARCH($Y9,Dienstplan!$B$25:$B$36))*(ISNUMBER(SEARCH($AB$16,Dienstplan!$BM$25:$CP$36)))))</f>
        <v>0</v>
      </c>
      <c r="Q138" s="302">
        <f>SUMPRODUCT((ISNUMBER(SEARCH($Y9,Dienstplan!$B$25:$B$36))*(ISNUMBER(SEARCH($AB$17,Dienstplan!$BM$25:$CP$36)))))</f>
        <v>0</v>
      </c>
      <c r="R138" s="302">
        <f>SUMPRODUCT((ISNUMBER(SEARCH($Y9,Dienstplan!$B$25:$B$36))*(ISNUMBER(SEARCH($AB$18,Dienstplan!$BM$25:$CP$36)))))</f>
        <v>0</v>
      </c>
      <c r="S138" s="308">
        <f>SUMPRODUCT((ISNUMBER(SEARCH($Y9,Dienstplan!$B$25:$B$36))*(ISNUMBER(SEARCH($AB$19,Dienstplan!$BM$25:$CP$36)))))</f>
        <v>1</v>
      </c>
      <c r="T138" s="302">
        <f t="shared" si="55"/>
        <v>147</v>
      </c>
      <c r="U138" s="330">
        <f>SUM($C138*Frueh_1+$D138*Spaet_1+$E138*Nacht_1+$F138*Normal_1+$I138*Sonderd_1-$J138*Muster+$K138*Muster+$L138*EH_Kurs+$M138*Koor_taet+$N138*Sekre_1+$O138*Muster+$P138*Muster+$Q138*Muster+$R138*Muster+G138*Muster+H138*Muster)</f>
        <v>53.5</v>
      </c>
      <c r="V138" s="308">
        <f t="shared" si="56"/>
        <v>-93.5</v>
      </c>
      <c r="W138" s="318">
        <f t="shared" si="57"/>
        <v>-630.45</v>
      </c>
    </row>
    <row r="139" ht="12.75" customHeight="1">
      <c r="A139" s="308"/>
      <c r="B139" s="329" t="str">
        <f t="shared" si="54"/>
        <v>Krempl</v>
      </c>
      <c r="C139" s="302">
        <f>SUMPRODUCT((ISNUMBER(SEARCH($Y10,Dienstplan!$B$25:$B$36))*(ISNUMBER(SEARCH($AB$3,Dienstplan!$BM$25:$CP$36)))))-D139</f>
        <v>0</v>
      </c>
      <c r="D139" s="302">
        <f>SUMPRODUCT((ISNUMBER(SEARCH($Y10,Dienstplan!$B$25:$B$36))*(ISNUMBER(SEARCH($AB$4,Dienstplan!$BM$25:$CP$36)))))</f>
        <v>0</v>
      </c>
      <c r="E139" s="302">
        <f>SUMPRODUCT((ISNUMBER(SEARCH($Y10,Dienstplan!$B$25:$B$36))*(ISNUMBER(SEARCH($AB$5,Dienstplan!$BM$25:$CP$36)))))</f>
        <v>0</v>
      </c>
      <c r="F139" s="302">
        <f>SUMPRODUCT((ISNUMBER(SEARCH($Y10,Dienstplan!$B$25:$B$36))*(ISNUMBER(SEARCH($AB$6,Dienstplan!$BM$25:$CP$36)))))</f>
        <v>0</v>
      </c>
      <c r="G139" s="302">
        <f>SUMPRODUCT((ISNUMBER(SEARCH($Y10,Dienstplan!$B$25:$B$36))*(ISNUMBER(SEARCH($AB$7,Dienstplan!$BM$25:$CP$36)))))-H139</f>
        <v>0</v>
      </c>
      <c r="H139" s="302">
        <f>SUMPRODUCT((ISNUMBER(SEARCH($Y10,Dienstplan!$B$25:$B$36))*(ISNUMBER(SEARCH($AB$8,Dienstplan!$BM$25:$CP$36)))))</f>
        <v>0</v>
      </c>
      <c r="I139" s="302">
        <f>SUMPRODUCT((ISNUMBER(SEARCH($Y10,Dienstplan!$B$25:$B$36))*(ISNUMBER(SEARCH($AB$9,Dienstplan!$BM$25:$CP$36)))))</f>
        <v>0</v>
      </c>
      <c r="J139" s="302">
        <f>SUMPRODUCT((ISNUMBER(SEARCH($Y10,Dienstplan!$B$25:$B$36))*(ISNUMBER(SEARCH($AB$10,Dienstplan!$BM$25:$CP$36)))))</f>
        <v>0</v>
      </c>
      <c r="K139" s="302">
        <f>SUMPRODUCT((ISNUMBER(SEARCH($Y10,Dienstplan!$B$25:$B$36))*(ISNUMBER(SEARCH($AB$11,Dienstplan!$BM$25:$CP$36)))))-$Q139</f>
        <v>0</v>
      </c>
      <c r="L139" s="302">
        <f>SUMPRODUCT((ISNUMBER(SEARCH($Y10,Dienstplan!$B$25:$B$36))*(ISNUMBER(SEARCH($AB$12,Dienstplan!$BM$25:$CP$36)))))</f>
        <v>0</v>
      </c>
      <c r="M139" s="302">
        <f>SUMPRODUCT((ISNUMBER(SEARCH($Y10,Dienstplan!$B$25:$B$36))*(ISNUMBER(SEARCH($AB$13,Dienstplan!$BM$25:$CP$36)))))</f>
        <v>0</v>
      </c>
      <c r="N139" s="302">
        <f>SUMPRODUCT((ISNUMBER(SEARCH($Y10,Dienstplan!$B$25:$B$36))*(ISNUMBER(SEARCH($AB$14,Dienstplan!$BM$25:$CP$36)))))</f>
        <v>0</v>
      </c>
      <c r="O139" s="302">
        <f>SUMPRODUCT((ISNUMBER(SEARCH($Y10,Dienstplan!$B$25:$B$36))*(ISNUMBER(SEARCH($AB$15,Dienstplan!$BM$25:$CP$36)))))</f>
        <v>0</v>
      </c>
      <c r="P139" s="302">
        <f>SUMPRODUCT((ISNUMBER(SEARCH($Y10,Dienstplan!$B$25:$B$36))*(ISNUMBER(SEARCH($AB$16,Dienstplan!$BM$25:$CP$36)))))</f>
        <v>0</v>
      </c>
      <c r="Q139" s="302">
        <f>SUMPRODUCT((ISNUMBER(SEARCH($Y10,Dienstplan!$B$25:$B$36))*(ISNUMBER(SEARCH($AB$17,Dienstplan!$BM$25:$CP$36)))))</f>
        <v>0</v>
      </c>
      <c r="R139" s="302">
        <f>SUMPRODUCT((ISNUMBER(SEARCH($Y10,Dienstplan!$B$25:$B$36))*(ISNUMBER(SEARCH($AB$18,Dienstplan!$BM$25:$CP$36)))))</f>
        <v>0</v>
      </c>
      <c r="S139" s="308">
        <f>SUMPRODUCT((ISNUMBER(SEARCH($Y10,Dienstplan!$B$25:$B$36))*(ISNUMBER(SEARCH($AB$19,Dienstplan!$BM$25:$CP$36)))))</f>
        <v>0</v>
      </c>
      <c r="T139" s="302">
        <f t="shared" si="55"/>
        <v>67.2</v>
      </c>
      <c r="U139" s="330">
        <f>SUM($C139*Frueh_1+$D139*Spaet_1+$E139*Nacht_1+$F139*Normal_1+$I139*Sonderd_1-$J139*Krem_E+$K139*Krem_E+$L139*EH_Kurs+$M139*Koor_taet+$N139*Sekre_1+$O139*Krem_E+$R139*Krem_E+$P139*Krem_E+$Q139*Krem_E+G139*Krem_E+H139*Krem_E)</f>
        <v>0</v>
      </c>
      <c r="V139" s="308">
        <f t="shared" si="56"/>
        <v>-67.2</v>
      </c>
      <c r="W139" s="318">
        <f t="shared" si="57"/>
        <v>-451.1</v>
      </c>
    </row>
    <row r="140" ht="12.75" customHeight="1">
      <c r="A140" s="308"/>
      <c r="B140" s="329" t="str">
        <f t="shared" si="54"/>
        <v>Putschler</v>
      </c>
      <c r="C140" s="302">
        <f>SUMPRODUCT((ISNUMBER(SEARCH($Y11,Dienstplan!$B$25:$B$36))*(ISNUMBER(SEARCH($AB$3,Dienstplan!$BM$25:$CP$36)))))-D140</f>
        <v>0</v>
      </c>
      <c r="D140" s="302">
        <f>SUMPRODUCT((ISNUMBER(SEARCH($Y11,Dienstplan!$B$25:$B$36))*(ISNUMBER(SEARCH($AB$4,Dienstplan!$BM$25:$CP$36)))))</f>
        <v>0</v>
      </c>
      <c r="E140" s="302">
        <f>SUMPRODUCT((ISNUMBER(SEARCH($Y11,Dienstplan!$B$25:$B$36))*(ISNUMBER(SEARCH($AB$5,Dienstplan!$BM$25:$CP$36)))))</f>
        <v>0</v>
      </c>
      <c r="F140" s="302">
        <f>SUMPRODUCT((ISNUMBER(SEARCH($Y11,Dienstplan!$B$25:$B$36))*(ISNUMBER(SEARCH($AB$6,Dienstplan!$BM$25:$CP$36)))))</f>
        <v>0</v>
      </c>
      <c r="G140" s="302">
        <f>SUMPRODUCT((ISNUMBER(SEARCH($Y11,Dienstplan!$B$25:$B$36))*(ISNUMBER(SEARCH($AB$7,Dienstplan!$BM$25:$CP$36)))))-H140</f>
        <v>0</v>
      </c>
      <c r="H140" s="302">
        <f>SUMPRODUCT((ISNUMBER(SEARCH($Y11,Dienstplan!$B$25:$B$36))*(ISNUMBER(SEARCH($AB$8,Dienstplan!$BM$25:$CP$36)))))</f>
        <v>0</v>
      </c>
      <c r="I140" s="302">
        <f>SUMPRODUCT((ISNUMBER(SEARCH($Y11,Dienstplan!$B$25:$B$36))*(ISNUMBER(SEARCH($AB$9,Dienstplan!$BM$25:$CP$36)))))</f>
        <v>0</v>
      </c>
      <c r="J140" s="302">
        <f>SUMPRODUCT((ISNUMBER(SEARCH($Y11,Dienstplan!$B$25:$B$36))*(ISNUMBER(SEARCH($AB$10,Dienstplan!$BM$25:$CP$36)))))</f>
        <v>0</v>
      </c>
      <c r="K140" s="302">
        <f>SUMPRODUCT((ISNUMBER(SEARCH($Y11,Dienstplan!$B$25:$B$36))*(ISNUMBER(SEARCH($AB$11,Dienstplan!$BM$25:$CP$36)))))-$Q140</f>
        <v>0</v>
      </c>
      <c r="L140" s="302">
        <f>SUMPRODUCT((ISNUMBER(SEARCH($Y11,Dienstplan!$B$25:$B$36))*(ISNUMBER(SEARCH($AB$12,Dienstplan!$BM$25:$CP$36)))))</f>
        <v>0</v>
      </c>
      <c r="M140" s="302">
        <f>SUMPRODUCT((ISNUMBER(SEARCH($Y11,Dienstplan!$B$25:$B$36))*(ISNUMBER(SEARCH($AB$13,Dienstplan!$BM$25:$CP$36)))))</f>
        <v>0</v>
      </c>
      <c r="N140" s="302">
        <f>SUMPRODUCT((ISNUMBER(SEARCH($Y11,Dienstplan!$B$25:$B$36))*(ISNUMBER(SEARCH($AB$14,Dienstplan!$BM$25:$CP$36)))))</f>
        <v>0</v>
      </c>
      <c r="O140" s="302">
        <f>SUMPRODUCT((ISNUMBER(SEARCH($Y11,Dienstplan!$B$25:$B$36))*(ISNUMBER(SEARCH($AB$15,Dienstplan!$BM$25:$CP$36)))))</f>
        <v>0</v>
      </c>
      <c r="P140" s="302">
        <f>SUMPRODUCT((ISNUMBER(SEARCH($Y11,Dienstplan!$B$25:$B$36))*(ISNUMBER(SEARCH($AB$16,Dienstplan!$BM$25:$CP$36)))))</f>
        <v>0</v>
      </c>
      <c r="Q140" s="302">
        <f>SUMPRODUCT((ISNUMBER(SEARCH($Y11,Dienstplan!$B$25:$B$36))*(ISNUMBER(SEARCH($AB$17,Dienstplan!$BM$25:$CP$36)))))</f>
        <v>0</v>
      </c>
      <c r="R140" s="302">
        <f>SUMPRODUCT((ISNUMBER(SEARCH($Y11,Dienstplan!$B$25:$B$36))*(ISNUMBER(SEARCH($AB$18,Dienstplan!$BM$25:$CP$36)))))</f>
        <v>0</v>
      </c>
      <c r="S140" s="308">
        <f>SUMPRODUCT((ISNUMBER(SEARCH($Y11,Dienstplan!$B$25:$B$36))*(ISNUMBER(SEARCH($AB$19,Dienstplan!$BM$25:$CP$36)))))</f>
        <v>0</v>
      </c>
      <c r="T140" s="302">
        <f t="shared" si="55"/>
        <v>168</v>
      </c>
      <c r="U140" s="330">
        <f>SUM($C140*Frueh_1+$D140*Spaet_1+$E140*Nacht_1+$F140*Normal_1+$I140*Sonderd_1-$J140*Put_W+$K140*Put_W+$L140*EH_Kurs+$M140*Koor_taet+$N140*Sekre_1+$O140*Put_W+$R140*Put_W+$P140*Put_W+$Q140*Put_W+G140*Put_W+H140*Put_W)</f>
        <v>0</v>
      </c>
      <c r="V140" s="308">
        <f t="shared" si="56"/>
        <v>-168</v>
      </c>
      <c r="W140" s="318">
        <f t="shared" si="57"/>
        <v>-968</v>
      </c>
    </row>
    <row r="141" ht="12.75" customHeight="1">
      <c r="A141" s="308"/>
      <c r="B141" s="329" t="str">
        <f t="shared" si="54"/>
        <v>Schmidt</v>
      </c>
      <c r="C141" s="302">
        <f>SUMPRODUCT((ISNUMBER(SEARCH($Y12,Dienstplan!$B$25:$B$36))*(ISNUMBER(SEARCH($AB$3,Dienstplan!$BM$25:$CP$36)))))-D141</f>
        <v>0</v>
      </c>
      <c r="D141" s="302">
        <f>SUMPRODUCT((ISNUMBER(SEARCH($Y12,Dienstplan!$B$25:$B$36))*(ISNUMBER(SEARCH($AB$4,Dienstplan!$BM$25:$CP$36)))))</f>
        <v>0</v>
      </c>
      <c r="E141" s="302">
        <f>SUMPRODUCT((ISNUMBER(SEARCH($Y12,Dienstplan!$B$25:$B$36))*(ISNUMBER(SEARCH($AB$5,Dienstplan!$BM$25:$CP$36)))))</f>
        <v>0</v>
      </c>
      <c r="F141" s="302">
        <f>SUMPRODUCT((ISNUMBER(SEARCH($Y12,Dienstplan!$B$25:$B$36))*(ISNUMBER(SEARCH($AB$6,Dienstplan!$BM$25:$CP$36)))))</f>
        <v>0</v>
      </c>
      <c r="G141" s="302">
        <f>SUMPRODUCT((ISNUMBER(SEARCH($Y12,Dienstplan!$B$25:$B$36))*(ISNUMBER(SEARCH($AB$7,Dienstplan!$BM$25:$CP$36)))))-H141</f>
        <v>0</v>
      </c>
      <c r="H141" s="302">
        <f>SUMPRODUCT((ISNUMBER(SEARCH($Y12,Dienstplan!$B$25:$B$36))*(ISNUMBER(SEARCH($AB$8,Dienstplan!$BM$25:$CP$36)))))</f>
        <v>0</v>
      </c>
      <c r="I141" s="302">
        <f>SUMPRODUCT((ISNUMBER(SEARCH($Y12,Dienstplan!$B$25:$B$36))*(ISNUMBER(SEARCH($AB$9,Dienstplan!$BM$25:$CP$36)))))</f>
        <v>0</v>
      </c>
      <c r="J141" s="302">
        <f>SUMPRODUCT((ISNUMBER(SEARCH($Y12,Dienstplan!$B$25:$B$36))*(ISNUMBER(SEARCH($AB$10,Dienstplan!$BM$25:$CP$36)))))</f>
        <v>0</v>
      </c>
      <c r="K141" s="302">
        <f>SUMPRODUCT((ISNUMBER(SEARCH($Y12,Dienstplan!$B$25:$B$36))*(ISNUMBER(SEARCH($AB$11,Dienstplan!$BM$25:$CP$36)))))-$Q141</f>
        <v>8</v>
      </c>
      <c r="L141" s="302">
        <f>SUMPRODUCT((ISNUMBER(SEARCH($Y12,Dienstplan!$B$25:$B$36))*(ISNUMBER(SEARCH($AB$12,Dienstplan!$BM$25:$CP$36)))))</f>
        <v>0</v>
      </c>
      <c r="M141" s="302">
        <f>SUMPRODUCT((ISNUMBER(SEARCH($Y12,Dienstplan!$B$25:$B$36))*(ISNUMBER(SEARCH($AB$13,Dienstplan!$BM$25:$CP$36)))))</f>
        <v>0</v>
      </c>
      <c r="N141" s="302">
        <f>SUMPRODUCT((ISNUMBER(SEARCH($Y12,Dienstplan!$B$25:$B$36))*(ISNUMBER(SEARCH($AB$14,Dienstplan!$BM$25:$CP$36)))))</f>
        <v>0</v>
      </c>
      <c r="O141" s="302">
        <f>SUMPRODUCT((ISNUMBER(SEARCH($Y12,Dienstplan!$B$25:$B$36))*(ISNUMBER(SEARCH($AB$15,Dienstplan!$BM$25:$CP$36)))))</f>
        <v>0</v>
      </c>
      <c r="P141" s="302">
        <f>SUMPRODUCT((ISNUMBER(SEARCH($Y12,Dienstplan!$B$25:$B$36))*(ISNUMBER(SEARCH($AB$16,Dienstplan!$BM$25:$CP$36)))))</f>
        <v>0</v>
      </c>
      <c r="Q141" s="302">
        <f>SUMPRODUCT((ISNUMBER(SEARCH($Y12,Dienstplan!$B$25:$B$36))*(ISNUMBER(SEARCH($AB$17,Dienstplan!$BM$25:$CP$36)))))</f>
        <v>0</v>
      </c>
      <c r="R141" s="302">
        <f>SUMPRODUCT((ISNUMBER(SEARCH($Y12,Dienstplan!$B$25:$B$36))*(ISNUMBER(SEARCH($AB$18,Dienstplan!$BM$25:$CP$36)))))</f>
        <v>0</v>
      </c>
      <c r="S141" s="308">
        <f>SUMPRODUCT((ISNUMBER(SEARCH($Y12,Dienstplan!$B$25:$B$36))*(ISNUMBER(SEARCH($AB$19,Dienstplan!$BM$25:$CP$36)))))</f>
        <v>0</v>
      </c>
      <c r="T141" s="302">
        <f t="shared" si="55"/>
        <v>147</v>
      </c>
      <c r="U141" s="330">
        <f>SUM($C141*Frueh_1+$D141*Spaet_1+$E141*Nacht_1+$F141*Normal_1+$I141*Sonderd_1-$J141*Radi_L+$K141*Radi_L+$L141*EH_Kurs+$M141*Koor_taet+$N141*Sekre_1+$O141*Radi_L+$R141*Radi_L+$P141*Radi_L+$Q141*Radi_L+G141*Radi_L+H141*Radi_L)</f>
        <v>56</v>
      </c>
      <c r="V141" s="308">
        <f t="shared" si="56"/>
        <v>-91</v>
      </c>
      <c r="W141" s="318">
        <f t="shared" si="57"/>
        <v>-1092</v>
      </c>
    </row>
    <row r="142" ht="12.75" customHeight="1">
      <c r="A142" s="308"/>
      <c r="B142" s="329" t="str">
        <f t="shared" si="54"/>
        <v>Radimersky</v>
      </c>
      <c r="C142" s="302">
        <f>SUMPRODUCT((ISNUMBER(SEARCH($Y13,Dienstplan!$B$25:$B$36))*(ISNUMBER(SEARCH($AB$3,Dienstplan!$BM$25:$CP$36)))))-D142</f>
        <v>0</v>
      </c>
      <c r="D142" s="302">
        <f>SUMPRODUCT((ISNUMBER(SEARCH($Y13,Dienstplan!$B$25:$B$36))*(ISNUMBER(SEARCH($AB$4,Dienstplan!$BM$25:$CP$36)))))</f>
        <v>0</v>
      </c>
      <c r="E142" s="302">
        <f>SUMPRODUCT((ISNUMBER(SEARCH($Y13,Dienstplan!$B$25:$B$36))*(ISNUMBER(SEARCH($AB$5,Dienstplan!$BM$25:$CP$36)))))</f>
        <v>0</v>
      </c>
      <c r="F142" s="302">
        <f>SUMPRODUCT((ISNUMBER(SEARCH($Y13,Dienstplan!$B$25:$B$36))*(ISNUMBER(SEARCH($AB$6,Dienstplan!$BM$25:$CP$36)))))</f>
        <v>0</v>
      </c>
      <c r="G142" s="302">
        <f>SUMPRODUCT((ISNUMBER(SEARCH($Y13,Dienstplan!$B$25:$B$36))*(ISNUMBER(SEARCH($AB$7,Dienstplan!$BM$25:$CP$36)))))-H142</f>
        <v>0</v>
      </c>
      <c r="H142" s="302">
        <f>SUMPRODUCT((ISNUMBER(SEARCH($Y13,Dienstplan!$B$25:$B$36))*(ISNUMBER(SEARCH($AB$8,Dienstplan!$BM$25:$CP$36)))))</f>
        <v>0</v>
      </c>
      <c r="I142" s="302">
        <f>SUMPRODUCT((ISNUMBER(SEARCH($Y13,Dienstplan!$B$25:$B$36))*(ISNUMBER(SEARCH($AB$9,Dienstplan!$BM$25:$CP$36)))))</f>
        <v>0</v>
      </c>
      <c r="J142" s="302">
        <f>SUMPRODUCT((ISNUMBER(SEARCH($Y13,Dienstplan!$B$25:$B$36))*(ISNUMBER(SEARCH($AB$10,Dienstplan!$BM$25:$CP$36)))))</f>
        <v>0</v>
      </c>
      <c r="K142" s="302">
        <f>SUMPRODUCT((ISNUMBER(SEARCH($Y13,Dienstplan!$B$25:$B$36))*(ISNUMBER(SEARCH($AB$11,Dienstplan!$BM$25:$CP$36)))))-$Q142</f>
        <v>9</v>
      </c>
      <c r="L142" s="302">
        <f>SUMPRODUCT((ISNUMBER(SEARCH($Y13,Dienstplan!$B$25:$B$36))*(ISNUMBER(SEARCH($AB$12,Dienstplan!$BM$25:$CP$36)))))</f>
        <v>0</v>
      </c>
      <c r="M142" s="302">
        <f>SUMPRODUCT((ISNUMBER(SEARCH($Y13,Dienstplan!$B$25:$B$36))*(ISNUMBER(SEARCH($AB$13,Dienstplan!$BM$25:$CP$36)))))</f>
        <v>0</v>
      </c>
      <c r="N142" s="302">
        <f>SUMPRODUCT((ISNUMBER(SEARCH($Y13,Dienstplan!$B$25:$B$36))*(ISNUMBER(SEARCH($AB$14,Dienstplan!$BM$25:$CP$36)))))</f>
        <v>0</v>
      </c>
      <c r="O142" s="302">
        <f>SUMPRODUCT((ISNUMBER(SEARCH($Y13,Dienstplan!$B$25:$B$36))*(ISNUMBER(SEARCH($AB$15,Dienstplan!$BM$25:$CP$36)))))</f>
        <v>0</v>
      </c>
      <c r="P142" s="302">
        <f>SUMPRODUCT((ISNUMBER(SEARCH($Y13,Dienstplan!$B$25:$B$36))*(ISNUMBER(SEARCH($AB$16,Dienstplan!$BM$25:$CP$36)))))</f>
        <v>0</v>
      </c>
      <c r="Q142" s="302">
        <f>SUMPRODUCT((ISNUMBER(SEARCH($Y13,Dienstplan!$B$25:$B$36))*(ISNUMBER(SEARCH($AB$17,Dienstplan!$BM$25:$CP$36)))))</f>
        <v>0</v>
      </c>
      <c r="R142" s="302">
        <f>SUMPRODUCT((ISNUMBER(SEARCH($Y13,Dienstplan!$B$25:$B$36))*(ISNUMBER(SEARCH($AB$18,Dienstplan!$BM$25:$CP$36)))))</f>
        <v>0</v>
      </c>
      <c r="S142" s="308">
        <f>SUMPRODUCT((ISNUMBER(SEARCH($Y13,Dienstplan!$B$25:$B$36))*(ISNUMBER(SEARCH($AB$19,Dienstplan!$BM$25:$CP$36)))))</f>
        <v>0</v>
      </c>
      <c r="T142" s="302">
        <f t="shared" si="55"/>
        <v>63</v>
      </c>
      <c r="U142" s="330">
        <f>SUM($C142*Frueh_1+$D142*Spaet_1+$E142*Nacht_1+$F142*Normal_1+$I142*Sonderd_1-$J142*Fortenb+$K142*Fortenb+$L142*EH_Kurs+$M142*Koor_taet+$N142*Sekre_1+$O142*Fortenb+$R142*Fortenb+$P142*Fortenb+$Q142*Fortenb+G142*Fortenb+H142*Fortenb)</f>
        <v>27</v>
      </c>
      <c r="V142" s="308">
        <f t="shared" si="56"/>
        <v>-36</v>
      </c>
      <c r="W142" s="318">
        <f t="shared" si="57"/>
        <v>-456</v>
      </c>
    </row>
    <row r="143" ht="12.75" customHeight="1">
      <c r="A143" s="308"/>
      <c r="B143" s="329"/>
      <c r="S143" s="308"/>
      <c r="V143" s="308"/>
      <c r="W143" s="318"/>
    </row>
    <row r="144" ht="12.75" customHeight="1">
      <c r="A144" s="308"/>
      <c r="B144" s="329" t="s">
        <v>134</v>
      </c>
      <c r="C144" s="303">
        <f t="shared" ref="C144:S144" si="58">SUM(C132:C143)</f>
        <v>0</v>
      </c>
      <c r="D144" s="303">
        <f t="shared" si="58"/>
        <v>0</v>
      </c>
      <c r="E144" s="303">
        <f t="shared" si="58"/>
        <v>0</v>
      </c>
      <c r="F144" s="303">
        <f t="shared" si="58"/>
        <v>22</v>
      </c>
      <c r="G144" s="303">
        <f t="shared" si="58"/>
        <v>0</v>
      </c>
      <c r="H144" s="303">
        <f t="shared" si="58"/>
        <v>0</v>
      </c>
      <c r="I144" s="303">
        <f t="shared" si="58"/>
        <v>0</v>
      </c>
      <c r="J144" s="303">
        <f t="shared" si="58"/>
        <v>0</v>
      </c>
      <c r="K144" s="303">
        <f t="shared" si="58"/>
        <v>49</v>
      </c>
      <c r="L144" s="303">
        <f t="shared" si="58"/>
        <v>0</v>
      </c>
      <c r="M144" s="303">
        <f t="shared" si="58"/>
        <v>0</v>
      </c>
      <c r="N144" s="303">
        <f t="shared" si="58"/>
        <v>0</v>
      </c>
      <c r="O144" s="303">
        <f t="shared" si="58"/>
        <v>4</v>
      </c>
      <c r="P144" s="303">
        <f t="shared" si="58"/>
        <v>0</v>
      </c>
      <c r="Q144" s="303">
        <f t="shared" si="58"/>
        <v>0</v>
      </c>
      <c r="R144" s="303">
        <f t="shared" si="58"/>
        <v>0</v>
      </c>
      <c r="S144" s="323">
        <f t="shared" si="58"/>
        <v>4</v>
      </c>
      <c r="T144" s="303">
        <f t="shared" ref="T144:U144" si="59">SUM(T132:T140)</f>
        <v>1327.2</v>
      </c>
      <c r="U144" s="303">
        <f t="shared" si="59"/>
        <v>448</v>
      </c>
      <c r="V144" s="323"/>
      <c r="W144" s="324"/>
    </row>
    <row r="145" ht="12.75" customHeight="1">
      <c r="A145" s="308"/>
      <c r="B145" s="309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9"/>
      <c r="T145" s="300"/>
      <c r="U145" s="300"/>
      <c r="V145" s="309"/>
      <c r="W145" s="310"/>
    </row>
    <row r="146" ht="12.75" customHeight="1">
      <c r="A146" s="308"/>
      <c r="B146" s="312" t="s">
        <v>166</v>
      </c>
      <c r="D146" s="313" t="s">
        <v>136</v>
      </c>
      <c r="E146" s="314"/>
      <c r="F146" s="315">
        <v>21.0</v>
      </c>
      <c r="G146" s="316"/>
      <c r="H146" s="317"/>
      <c r="I146" s="313" t="s">
        <v>137</v>
      </c>
      <c r="J146" s="314"/>
      <c r="K146" s="315">
        <v>4.0</v>
      </c>
      <c r="S146" s="308"/>
      <c r="V146" s="308"/>
      <c r="W146" s="318"/>
    </row>
    <row r="147" ht="12.75" customHeight="1">
      <c r="A147" s="308"/>
      <c r="B147" s="308"/>
      <c r="C147" s="303" t="str">
        <f>Jahr!C3</f>
        <v>FI</v>
      </c>
      <c r="D147" s="303" t="str">
        <f>Jahr!D3</f>
        <v>FII</v>
      </c>
      <c r="E147" s="303" t="str">
        <f>Jahr!E3</f>
        <v>SI</v>
      </c>
      <c r="F147" s="303" t="str">
        <f>Jahr!F3</f>
        <v>NI</v>
      </c>
      <c r="G147" s="303" t="str">
        <f>Jahr!G3</f>
        <v>DI</v>
      </c>
      <c r="H147" s="303" t="str">
        <f>Jahr!H3</f>
        <v>DII</v>
      </c>
      <c r="I147" s="303" t="str">
        <f>Jahr!I3</f>
        <v>SD</v>
      </c>
      <c r="J147" s="303" t="str">
        <f>Jahr!J3</f>
        <v>GT</v>
      </c>
      <c r="K147" s="303" t="str">
        <f>Jahr!K3</f>
        <v>U</v>
      </c>
      <c r="L147" s="303" t="str">
        <f>Jahr!L3</f>
        <v>EH</v>
      </c>
      <c r="M147" s="303" t="str">
        <f>Jahr!M3</f>
        <v>KT</v>
      </c>
      <c r="N147" s="303" t="str">
        <f>Jahr!N3</f>
        <v>Sek</v>
      </c>
      <c r="O147" s="303" t="str">
        <f>Jahr!O3</f>
        <v>Fobi</v>
      </c>
      <c r="P147" s="303" t="str">
        <f>Jahr!P3</f>
        <v>A</v>
      </c>
      <c r="Q147" s="303" t="str">
        <f>Jahr!Q3</f>
        <v>Kur</v>
      </c>
      <c r="R147" s="303" t="str">
        <f>Jahr!R3</f>
        <v>FZC</v>
      </c>
      <c r="S147" s="303" t="str">
        <f>Jahr!S3</f>
        <v>NST</v>
      </c>
      <c r="T147" s="358" t="s">
        <v>144</v>
      </c>
      <c r="U147" s="358" t="s">
        <v>145</v>
      </c>
      <c r="V147" s="323" t="s">
        <v>146</v>
      </c>
      <c r="W147" s="324" t="s">
        <v>147</v>
      </c>
    </row>
    <row r="148" ht="12.75" customHeight="1">
      <c r="A148" s="308"/>
      <c r="B148" s="329" t="str">
        <f t="shared" ref="B148:B158" si="60">B4</f>
        <v>Breig</v>
      </c>
      <c r="C148" s="302">
        <f>SUMPRODUCT((ISNUMBER(SEARCH($Y3,Dienstplan!$B$25:$B$36))*(ISNUMBER(SEARCH($AB$3,Dienstplan!$CQ$25:$DV$36)))))-D148</f>
        <v>0</v>
      </c>
      <c r="D148" s="302">
        <f>SUMPRODUCT((ISNUMBER(SEARCH($Y3,Dienstplan!$B$25:$B$36))*(ISNUMBER(SEARCH($AB$4,Dienstplan!$CQ$25:$DV$36)))))</f>
        <v>0</v>
      </c>
      <c r="E148" s="302">
        <f>SUMPRODUCT((ISNUMBER(SEARCH($Y3,Dienstplan!$B$25:$B$36))*(ISNUMBER(SEARCH($AB$5,Dienstplan!$CQ$25:$DV$36)))))</f>
        <v>0</v>
      </c>
      <c r="F148" s="302">
        <f>SUMPRODUCT((ISNUMBER(SEARCH($Y3,Dienstplan!$B$25:$B$36))*(ISNUMBER(SEARCH($AB$6,Dienstplan!$CQ$25:$DV$36)))))</f>
        <v>1</v>
      </c>
      <c r="G148" s="302">
        <f>SUMPRODUCT((ISNUMBER(SEARCH($Y3,Dienstplan!$B$25:$B$36))*(ISNUMBER(SEARCH($AB$7,Dienstplan!$CQ$25:$DV$36)))))-H148</f>
        <v>0</v>
      </c>
      <c r="H148" s="302">
        <f>SUMPRODUCT((ISNUMBER(SEARCH($Y3,Dienstplan!$B$25:$B$36))*(ISNUMBER(SEARCH($AB$8,Dienstplan!$CQ$25:$DV$36)))))</f>
        <v>0</v>
      </c>
      <c r="I148" s="302">
        <f>SUMPRODUCT((ISNUMBER(SEARCH($Y3,Dienstplan!$B$25:$B$36))*(ISNUMBER(SEARCH($AB$9,Dienstplan!$CQ$25:$DV$36)))))</f>
        <v>0</v>
      </c>
      <c r="J148" s="302">
        <f>SUMPRODUCT((ISNUMBER(SEARCH($Y3,Dienstplan!$B$25:$B$36))*(ISNUMBER(SEARCH($AB$10,Dienstplan!$CQ$25:$DV$36)))))</f>
        <v>0</v>
      </c>
      <c r="K148" s="302">
        <f>SUMPRODUCT((ISNUMBER(SEARCH($Y3,Dienstplan!$B$25:$B$36))*(ISNUMBER(SEARCH($AB$11,Dienstplan!$CQ$25:$DV$36)))))-$Q148</f>
        <v>0</v>
      </c>
      <c r="L148" s="302">
        <f>SUMPRODUCT((ISNUMBER(SEARCH($Y3,Dienstplan!$B$25:$B$36))*(ISNUMBER(SEARCH($AB$12,Dienstplan!$CQ$25:$DV$36)))))</f>
        <v>0</v>
      </c>
      <c r="M148" s="302">
        <f>SUMPRODUCT((ISNUMBER(SEARCH($Y3,Dienstplan!$B$25:$B$36))*(ISNUMBER(SEARCH($AB$13,Dienstplan!$CQ$25:$DV$36)))))</f>
        <v>0</v>
      </c>
      <c r="N148" s="302">
        <f>SUMPRODUCT((ISNUMBER(SEARCH($Y3,Dienstplan!$B$25:$B$36))*(ISNUMBER(SEARCH($AB$14,Dienstplan!$CQ$25:$DV$36)))))</f>
        <v>0</v>
      </c>
      <c r="O148" s="302">
        <f>SUMPRODUCT((ISNUMBER(SEARCH($Y3,Dienstplan!$B$25:$B$36))*(ISNUMBER(SEARCH($AB$15,Dienstplan!$CQ$25:$DV$36)))))</f>
        <v>0</v>
      </c>
      <c r="P148" s="302">
        <f>SUMPRODUCT((ISNUMBER(SEARCH($Y3,Dienstplan!$B$25:$B$36))*(ISNUMBER(SEARCH($AB$16,Dienstplan!$CQ$25:$DV$36)))))</f>
        <v>0</v>
      </c>
      <c r="Q148" s="302">
        <f>SUMPRODUCT((ISNUMBER(SEARCH($Y3,Dienstplan!$B$25:$B$36))*(ISNUMBER(SEARCH($AB$16,Dienstplan!$CQ$25:$DV$36)))))</f>
        <v>0</v>
      </c>
      <c r="R148" s="302">
        <f>SUMPRODUCT((ISNUMBER(SEARCH($Y3,Dienstplan!$B$25:$B$36))*(ISNUMBER(SEARCH($AB$18,Dienstplan!$CQ$25:$DV$36)))))</f>
        <v>0</v>
      </c>
      <c r="S148" s="308">
        <f>SUMPRODUCT((ISNUMBER(SEARCH($Y3,Dienstplan!$B$25:$B$36))*(ISNUMBER(SEARCH($AB$19,Dienstplan!$CQ$25:$DV$36)))))</f>
        <v>1</v>
      </c>
      <c r="T148" s="302">
        <f t="shared" ref="T148:T158" si="61">SUM($F$146*$Z3)</f>
        <v>168</v>
      </c>
      <c r="U148" s="330">
        <f>SUM($C148*Frueh_1+$D148*Spaet_1+$E148*Nacht_1+$F148*Normal_1+$I148*Sonderd_1-$J148*Velten+$K148*Velten+$L148*EH_Kurs+$M148*Koor_taet+$N148*Sekre_1+$O148*Velten+$R148*Velten+$P148*Velten+$Q148*Velten+G148*Velt_M+H148*Velt_M)</f>
        <v>7.5</v>
      </c>
      <c r="V148" s="308">
        <f t="shared" ref="V148:V158" si="62">SUM($U148-$T148)</f>
        <v>-160.5</v>
      </c>
      <c r="W148" s="318">
        <f t="shared" ref="W148:W158" si="63">V148+W132</f>
        <v>-728.5</v>
      </c>
    </row>
    <row r="149" ht="12.75" customHeight="1">
      <c r="A149" s="308"/>
      <c r="B149" s="329" t="str">
        <f t="shared" si="60"/>
        <v>Siebert</v>
      </c>
      <c r="C149" s="302">
        <f>SUMPRODUCT((ISNUMBER(SEARCH($Y4,Dienstplan!$B$25:$B$36))*(ISNUMBER(SEARCH($AB$3,Dienstplan!$CQ$25:$DV$36)))))-D149</f>
        <v>0</v>
      </c>
      <c r="D149" s="302">
        <f>SUMPRODUCT((ISNUMBER(SEARCH($Y4,Dienstplan!$B$25:$B$36))*(ISNUMBER(SEARCH($AB$4,Dienstplan!$CQ$25:$DV$36)))))</f>
        <v>0</v>
      </c>
      <c r="E149" s="302">
        <f>SUMPRODUCT((ISNUMBER(SEARCH($Y4,Dienstplan!$B$25:$B$36))*(ISNUMBER(SEARCH($AB$5,Dienstplan!$CQ$25:$DV$36)))))</f>
        <v>0</v>
      </c>
      <c r="F149" s="302">
        <f>SUMPRODUCT((ISNUMBER(SEARCH($Y4,Dienstplan!$B$25:$B$36))*(ISNUMBER(SEARCH($AB$6,Dienstplan!$CQ$25:$DV$36)))))</f>
        <v>0</v>
      </c>
      <c r="G149" s="302">
        <f>SUMPRODUCT((ISNUMBER(SEARCH($Y4,Dienstplan!$B$25:$B$36))*(ISNUMBER(SEARCH($AB$7,Dienstplan!$CQ$25:$DV$36)))))-H149</f>
        <v>0</v>
      </c>
      <c r="H149" s="302">
        <f>SUMPRODUCT((ISNUMBER(SEARCH($Y4,Dienstplan!$B$25:$B$36))*(ISNUMBER(SEARCH($AB$8,Dienstplan!$CQ$25:$DV$36)))))</f>
        <v>0</v>
      </c>
      <c r="I149" s="302">
        <f>SUMPRODUCT((ISNUMBER(SEARCH($Y4,Dienstplan!$B$25:$B$36))*(ISNUMBER(SEARCH($AB$9,Dienstplan!$CQ$25:$DV$36)))))</f>
        <v>0</v>
      </c>
      <c r="J149" s="302">
        <f>SUMPRODUCT((ISNUMBER(SEARCH($Y4,Dienstplan!$B$25:$B$36))*(ISNUMBER(SEARCH($AB$10,Dienstplan!$CQ$25:$DV$36)))))</f>
        <v>0</v>
      </c>
      <c r="K149" s="302">
        <f>SUMPRODUCT((ISNUMBER(SEARCH($Y4,Dienstplan!$B$25:$B$36))*(ISNUMBER(SEARCH($AB$11,Dienstplan!$CQ$25:$DV$36)))))-$Q149</f>
        <v>10</v>
      </c>
      <c r="L149" s="302">
        <f>SUMPRODUCT((ISNUMBER(SEARCH($Y4,Dienstplan!$B$25:$B$36))*(ISNUMBER(SEARCH($AB$12,Dienstplan!$CQ$25:$DV$36)))))</f>
        <v>0</v>
      </c>
      <c r="M149" s="302">
        <f>SUMPRODUCT((ISNUMBER(SEARCH($Y4,Dienstplan!$B$25:$B$36))*(ISNUMBER(SEARCH($AB$13,Dienstplan!$CQ$25:$DV$36)))))</f>
        <v>0</v>
      </c>
      <c r="N149" s="302">
        <f>SUMPRODUCT((ISNUMBER(SEARCH($Y4,Dienstplan!$B$25:$B$36))*(ISNUMBER(SEARCH($AB$14,Dienstplan!$CQ$25:$DV$36)))))</f>
        <v>0</v>
      </c>
      <c r="O149" s="302">
        <f>SUMPRODUCT((ISNUMBER(SEARCH($Y4,Dienstplan!$B$25:$B$36))*(ISNUMBER(SEARCH($AB$15,Dienstplan!$CQ$25:$DV$36)))))</f>
        <v>0</v>
      </c>
      <c r="P149" s="302">
        <f>SUMPRODUCT((ISNUMBER(SEARCH($Y4,Dienstplan!$B$25:$B$36))*(ISNUMBER(SEARCH($AB$16,Dienstplan!$CQ$25:$DV$36)))))</f>
        <v>0</v>
      </c>
      <c r="Q149" s="302">
        <f>SUMPRODUCT((ISNUMBER(SEARCH($Y4,Dienstplan!$B$25:$B$36))*(ISNUMBER(SEARCH($AB$16,Dienstplan!$CQ$25:$DV$36)))))</f>
        <v>0</v>
      </c>
      <c r="R149" s="302">
        <f>SUMPRODUCT((ISNUMBER(SEARCH($Y4,Dienstplan!$B$25:$B$36))*(ISNUMBER(SEARCH($AB$18,Dienstplan!$CQ$25:$DV$36)))))</f>
        <v>0</v>
      </c>
      <c r="S149" s="308">
        <f>SUMPRODUCT((ISNUMBER(SEARCH($Y4,Dienstplan!$B$25:$B$36))*(ISNUMBER(SEARCH($AB$19,Dienstplan!$CQ$25:$DV$36)))))</f>
        <v>0</v>
      </c>
      <c r="T149" s="302">
        <f t="shared" si="61"/>
        <v>147</v>
      </c>
      <c r="U149" s="330">
        <f>SUM($C149*Frueh_1+$D149*Spaet_1+$E149*Nacht_1+$F149*Normal_1+$I149*Sonderd_1-$J149*Brue_H+$K149*Brue_H+$L149*EH_Kurs+$M149*Koor_taet+$N149*Sekre_1+$O149*Brue_H+$R149*Brue_H+$P149*Brue_H+$Q149*Brue_H+G149*Brue_H+H149*Brue_H)</f>
        <v>70</v>
      </c>
      <c r="V149" s="308">
        <f t="shared" si="62"/>
        <v>-77</v>
      </c>
      <c r="W149" s="318">
        <f t="shared" si="63"/>
        <v>-613.25</v>
      </c>
    </row>
    <row r="150" ht="12.75" customHeight="1">
      <c r="A150" s="308"/>
      <c r="B150" s="329" t="str">
        <f t="shared" si="60"/>
        <v>Jochim</v>
      </c>
      <c r="C150" s="302">
        <f>SUMPRODUCT((ISNUMBER(SEARCH($Y5,Dienstplan!$B$25:$B$36))*(ISNUMBER(SEARCH($AB$3,Dienstplan!$CQ$25:$DV$36)))))-D150</f>
        <v>0</v>
      </c>
      <c r="D150" s="302">
        <f>SUMPRODUCT((ISNUMBER(SEARCH($Y5,Dienstplan!$B$25:$B$36))*(ISNUMBER(SEARCH($AB$4,Dienstplan!$CQ$25:$DV$36)))))</f>
        <v>0</v>
      </c>
      <c r="E150" s="302">
        <f>SUMPRODUCT((ISNUMBER(SEARCH($Y5,Dienstplan!$B$25:$B$36))*(ISNUMBER(SEARCH($AB$5,Dienstplan!$CQ$25:$DV$36)))))</f>
        <v>0</v>
      </c>
      <c r="F150" s="302">
        <f>SUMPRODUCT((ISNUMBER(SEARCH($Y5,Dienstplan!$B$25:$B$36))*(ISNUMBER(SEARCH($AB$6,Dienstplan!$CQ$25:$DV$36)))))</f>
        <v>0</v>
      </c>
      <c r="G150" s="302">
        <f>SUMPRODUCT((ISNUMBER(SEARCH($Y5,Dienstplan!$B$25:$B$36))*(ISNUMBER(SEARCH($AB$7,Dienstplan!$CQ$25:$DV$36)))))-H150</f>
        <v>0</v>
      </c>
      <c r="H150" s="302">
        <f>SUMPRODUCT((ISNUMBER(SEARCH($Y5,Dienstplan!$B$25:$B$36))*(ISNUMBER(SEARCH($AB$8,Dienstplan!$CQ$25:$DV$36)))))</f>
        <v>0</v>
      </c>
      <c r="I150" s="302">
        <f>SUMPRODUCT((ISNUMBER(SEARCH($Y5,Dienstplan!$B$25:$B$36))*(ISNUMBER(SEARCH($AB$9,Dienstplan!$CQ$25:$DV$36)))))</f>
        <v>0</v>
      </c>
      <c r="J150" s="302">
        <f>SUMPRODUCT((ISNUMBER(SEARCH($Y5,Dienstplan!$B$25:$B$36))*(ISNUMBER(SEARCH($AB$10,Dienstplan!$CQ$25:$DV$36)))))</f>
        <v>0</v>
      </c>
      <c r="K150" s="302">
        <f>SUMPRODUCT((ISNUMBER(SEARCH($Y5,Dienstplan!$B$25:$B$36))*(ISNUMBER(SEARCH($AB$11,Dienstplan!$CQ$25:$DV$36)))))-$Q150</f>
        <v>0</v>
      </c>
      <c r="L150" s="302">
        <f>SUMPRODUCT((ISNUMBER(SEARCH($Y5,Dienstplan!$B$25:$B$36))*(ISNUMBER(SEARCH($AB$12,Dienstplan!$CQ$25:$DV$36)))))</f>
        <v>0</v>
      </c>
      <c r="M150" s="302">
        <f>SUMPRODUCT((ISNUMBER(SEARCH($Y5,Dienstplan!$B$25:$B$36))*(ISNUMBER(SEARCH($AB$13,Dienstplan!$CQ$25:$DV$36)))))</f>
        <v>0</v>
      </c>
      <c r="N150" s="302">
        <f>SUMPRODUCT((ISNUMBER(SEARCH($Y5,Dienstplan!$B$25:$B$36))*(ISNUMBER(SEARCH($AB$14,Dienstplan!$CQ$25:$DV$36)))))</f>
        <v>0</v>
      </c>
      <c r="O150" s="302">
        <f>SUMPRODUCT((ISNUMBER(SEARCH($Y5,Dienstplan!$B$25:$B$36))*(ISNUMBER(SEARCH($AB$15,Dienstplan!$CQ$25:$DV$36)))))</f>
        <v>0</v>
      </c>
      <c r="P150" s="302">
        <f>SUMPRODUCT((ISNUMBER(SEARCH($Y5,Dienstplan!$B$25:$B$36))*(ISNUMBER(SEARCH($AB$16,Dienstplan!$CQ$25:$DV$36)))))</f>
        <v>0</v>
      </c>
      <c r="Q150" s="302">
        <f>SUMPRODUCT((ISNUMBER(SEARCH($Y5,Dienstplan!$B$25:$B$36))*(ISNUMBER(SEARCH($AB$16,Dienstplan!$CQ$25:$DV$36)))))</f>
        <v>0</v>
      </c>
      <c r="R150" s="302">
        <f>SUMPRODUCT((ISNUMBER(SEARCH($Y5,Dienstplan!$B$25:$B$36))*(ISNUMBER(SEARCH($AB$18,Dienstplan!$CQ$25:$DV$36)))))</f>
        <v>0</v>
      </c>
      <c r="S150" s="308">
        <f>SUMPRODUCT((ISNUMBER(SEARCH($Y5,Dienstplan!$B$25:$B$36))*(ISNUMBER(SEARCH($AB$19,Dienstplan!$CQ$25:$DV$36)))))</f>
        <v>0</v>
      </c>
      <c r="T150" s="302">
        <f t="shared" si="61"/>
        <v>147</v>
      </c>
      <c r="U150" s="330">
        <f>SUM($C150*Frueh_1+$D150*Spaet_1+$E150*Nacht_1+$F150*Normal_1+$I150*Sonderd_1-$J150*Rath_M+$K150*Rath_M+$L150*EH_Kurs+$M150*Koor_taet+$N150*Sekre_1+$O150*Rath_M+$R150*Rath_M+$P150*Rath_M+$Q150*Rath_M+G150*Rath_M+H150*Rath_M)</f>
        <v>0</v>
      </c>
      <c r="V150" s="308">
        <f t="shared" si="62"/>
        <v>-147</v>
      </c>
      <c r="W150" s="318">
        <f t="shared" si="63"/>
        <v>-1328.75</v>
      </c>
    </row>
    <row r="151" ht="12.75" customHeight="1">
      <c r="A151" s="308"/>
      <c r="B151" s="329" t="str">
        <f t="shared" si="60"/>
        <v>Wunsch</v>
      </c>
      <c r="C151" s="302">
        <f>SUMPRODUCT((ISNUMBER(SEARCH($Y6,Dienstplan!$B$25:$B$36))*(ISNUMBER(SEARCH($AB$3,Dienstplan!$CQ$25:$DV$36)))))-D151</f>
        <v>0</v>
      </c>
      <c r="D151" s="302">
        <f>SUMPRODUCT((ISNUMBER(SEARCH($Y6,Dienstplan!$B$25:$B$36))*(ISNUMBER(SEARCH($AB$4,Dienstplan!$CQ$25:$DV$36)))))</f>
        <v>0</v>
      </c>
      <c r="E151" s="302">
        <f>SUMPRODUCT((ISNUMBER(SEARCH($Y6,Dienstplan!$B$25:$B$36))*(ISNUMBER(SEARCH($AB$5,Dienstplan!$CQ$25:$DV$36)))))</f>
        <v>0</v>
      </c>
      <c r="F151" s="302">
        <f>SUMPRODUCT((ISNUMBER(SEARCH($Y6,Dienstplan!$B$25:$B$36))*(ISNUMBER(SEARCH($AB$6,Dienstplan!$CQ$25:$DV$36)))))</f>
        <v>5</v>
      </c>
      <c r="G151" s="302">
        <f>SUMPRODUCT((ISNUMBER(SEARCH($Y6,Dienstplan!$B$25:$B$36))*(ISNUMBER(SEARCH($AB$7,Dienstplan!$CQ$25:$DV$36)))))-H151</f>
        <v>0</v>
      </c>
      <c r="H151" s="302">
        <f>SUMPRODUCT((ISNUMBER(SEARCH($Y6,Dienstplan!$B$25:$B$36))*(ISNUMBER(SEARCH($AB$8,Dienstplan!$CQ$25:$DV$36)))))</f>
        <v>0</v>
      </c>
      <c r="I151" s="302">
        <f>SUMPRODUCT((ISNUMBER(SEARCH($Y6,Dienstplan!$B$25:$B$36))*(ISNUMBER(SEARCH($AB$9,Dienstplan!$CQ$25:$DV$36)))))</f>
        <v>0</v>
      </c>
      <c r="J151" s="302">
        <f>SUMPRODUCT((ISNUMBER(SEARCH($Y6,Dienstplan!$B$25:$B$36))*(ISNUMBER(SEARCH($AB$10,Dienstplan!$CQ$25:$DV$36)))))</f>
        <v>0</v>
      </c>
      <c r="K151" s="302">
        <f>SUMPRODUCT((ISNUMBER(SEARCH($Y6,Dienstplan!$B$25:$B$36))*(ISNUMBER(SEARCH($AB$11,Dienstplan!$CQ$25:$DV$36)))))-$Q151</f>
        <v>4</v>
      </c>
      <c r="L151" s="302">
        <f>SUMPRODUCT((ISNUMBER(SEARCH($Y6,Dienstplan!$B$25:$B$36))*(ISNUMBER(SEARCH($AB$12,Dienstplan!$CQ$25:$DV$36)))))</f>
        <v>0</v>
      </c>
      <c r="M151" s="302">
        <f>SUMPRODUCT((ISNUMBER(SEARCH($Y6,Dienstplan!$B$25:$B$36))*(ISNUMBER(SEARCH($AB$13,Dienstplan!$CQ$25:$DV$36)))))</f>
        <v>0</v>
      </c>
      <c r="N151" s="302">
        <f>SUMPRODUCT((ISNUMBER(SEARCH($Y6,Dienstplan!$B$25:$B$36))*(ISNUMBER(SEARCH($AB$14,Dienstplan!$CQ$25:$DV$36)))))</f>
        <v>0</v>
      </c>
      <c r="O151" s="302">
        <f>SUMPRODUCT((ISNUMBER(SEARCH($Y6,Dienstplan!$B$25:$B$36))*(ISNUMBER(SEARCH($AB$15,Dienstplan!$CQ$25:$DV$36)))))</f>
        <v>0</v>
      </c>
      <c r="P151" s="302">
        <f>SUMPRODUCT((ISNUMBER(SEARCH($Y6,Dienstplan!$B$25:$B$36))*(ISNUMBER(SEARCH($AB$16,Dienstplan!$CQ$25:$DV$36)))))</f>
        <v>0</v>
      </c>
      <c r="Q151" s="302">
        <f>SUMPRODUCT((ISNUMBER(SEARCH($Y6,Dienstplan!$B$25:$B$36))*(ISNUMBER(SEARCH($AB$16,Dienstplan!$CQ$25:$DV$36)))))</f>
        <v>0</v>
      </c>
      <c r="R151" s="302">
        <f>SUMPRODUCT((ISNUMBER(SEARCH($Y6,Dienstplan!$B$25:$B$36))*(ISNUMBER(SEARCH($AB$18,Dienstplan!$CQ$25:$DV$36)))))</f>
        <v>0</v>
      </c>
      <c r="S151" s="308">
        <f>SUMPRODUCT((ISNUMBER(SEARCH($Y6,Dienstplan!$B$25:$B$36))*(ISNUMBER(SEARCH($AB$19,Dienstplan!$CQ$25:$DV$36)))))</f>
        <v>1</v>
      </c>
      <c r="T151" s="302">
        <f t="shared" si="61"/>
        <v>168</v>
      </c>
      <c r="U151" s="330">
        <f>SUM($C151*Frueh_1+$D151*Spaet_1+$E151*Nacht_1+$F151*Normal_1+$I151*Sonderd_1-$J151*Scho_K+$K151*Scho_K+$L151*EH_Kurs+$M151*Koor_taet+$N151*Sekre_1+$O151*Scho_K+$R151*Scho_K+$P151*Scho_K+$Q151*Scho_K+G151*Scho_K+H151*Scho_K)</f>
        <v>69.5</v>
      </c>
      <c r="V151" s="308">
        <f t="shared" si="62"/>
        <v>-98.5</v>
      </c>
      <c r="W151" s="318">
        <f t="shared" si="63"/>
        <v>-773</v>
      </c>
    </row>
    <row r="152" ht="12.75" customHeight="1">
      <c r="A152" s="308"/>
      <c r="B152" s="329" t="str">
        <f t="shared" si="60"/>
        <v>Göpfrich</v>
      </c>
      <c r="C152" s="302">
        <f>SUMPRODUCT((ISNUMBER(SEARCH($Y7,Dienstplan!$B$25:$B$36))*(ISNUMBER(SEARCH($AB$3,Dienstplan!$CQ$25:$DV$36)))))-D152</f>
        <v>0</v>
      </c>
      <c r="D152" s="302">
        <f>SUMPRODUCT((ISNUMBER(SEARCH($Y7,Dienstplan!$B$25:$B$36))*(ISNUMBER(SEARCH($AB$4,Dienstplan!$CQ$25:$DV$36)))))</f>
        <v>0</v>
      </c>
      <c r="E152" s="302">
        <f>SUMPRODUCT((ISNUMBER(SEARCH($Y7,Dienstplan!$B$25:$B$36))*(ISNUMBER(SEARCH($AB$5,Dienstplan!$CQ$25:$DV$36)))))</f>
        <v>0</v>
      </c>
      <c r="F152" s="302">
        <f>SUMPRODUCT((ISNUMBER(SEARCH($Y7,Dienstplan!$B$25:$B$36))*(ISNUMBER(SEARCH($AB$6,Dienstplan!$CQ$25:$DV$36)))))</f>
        <v>5</v>
      </c>
      <c r="G152" s="302">
        <f>SUMPRODUCT((ISNUMBER(SEARCH($Y7,Dienstplan!$B$25:$B$36))*(ISNUMBER(SEARCH($AB$7,Dienstplan!$CQ$25:$DV$36)))))-H152</f>
        <v>0</v>
      </c>
      <c r="H152" s="302">
        <f>SUMPRODUCT((ISNUMBER(SEARCH($Y7,Dienstplan!$B$25:$B$36))*(ISNUMBER(SEARCH($AB$8,Dienstplan!$CQ$25:$DV$36)))))</f>
        <v>0</v>
      </c>
      <c r="I152" s="302">
        <f>SUMPRODUCT((ISNUMBER(SEARCH($Y7,Dienstplan!$B$25:$B$36))*(ISNUMBER(SEARCH($AB$9,Dienstplan!$CQ$25:$DV$36)))))</f>
        <v>0</v>
      </c>
      <c r="J152" s="302">
        <f>SUMPRODUCT((ISNUMBER(SEARCH($Y7,Dienstplan!$B$25:$B$36))*(ISNUMBER(SEARCH($AB$10,Dienstplan!$CQ$25:$DV$36)))))</f>
        <v>0</v>
      </c>
      <c r="K152" s="302">
        <f>SUMPRODUCT((ISNUMBER(SEARCH($Y7,Dienstplan!$B$25:$B$36))*(ISNUMBER(SEARCH($AB$11,Dienstplan!$CQ$25:$DV$36)))))-$Q152</f>
        <v>0</v>
      </c>
      <c r="L152" s="302">
        <f>SUMPRODUCT((ISNUMBER(SEARCH($Y7,Dienstplan!$B$25:$B$36))*(ISNUMBER(SEARCH($AB$12,Dienstplan!$CQ$25:$DV$36)))))</f>
        <v>0</v>
      </c>
      <c r="M152" s="302">
        <f>SUMPRODUCT((ISNUMBER(SEARCH($Y7,Dienstplan!$B$25:$B$36))*(ISNUMBER(SEARCH($AB$13,Dienstplan!$CQ$25:$DV$36)))))</f>
        <v>0</v>
      </c>
      <c r="N152" s="302">
        <f>SUMPRODUCT((ISNUMBER(SEARCH($Y7,Dienstplan!$B$25:$B$36))*(ISNUMBER(SEARCH($AB$14,Dienstplan!$CQ$25:$DV$36)))))</f>
        <v>0</v>
      </c>
      <c r="O152" s="302">
        <f>SUMPRODUCT((ISNUMBER(SEARCH($Y7,Dienstplan!$B$25:$B$36))*(ISNUMBER(SEARCH($AB$15,Dienstplan!$CQ$25:$DV$36)))))</f>
        <v>0</v>
      </c>
      <c r="P152" s="302">
        <f>SUMPRODUCT((ISNUMBER(SEARCH($Y7,Dienstplan!$B$25:$B$36))*(ISNUMBER(SEARCH($AB$16,Dienstplan!$CQ$25:$DV$36)))))</f>
        <v>0</v>
      </c>
      <c r="Q152" s="302">
        <f>SUMPRODUCT((ISNUMBER(SEARCH($Y7,Dienstplan!$B$25:$B$36))*(ISNUMBER(SEARCH($AB$16,Dienstplan!$CQ$25:$DV$36)))))</f>
        <v>0</v>
      </c>
      <c r="R152" s="302">
        <f>SUMPRODUCT((ISNUMBER(SEARCH($Y7,Dienstplan!$B$25:$B$36))*(ISNUMBER(SEARCH($AB$18,Dienstplan!$CQ$25:$DV$36)))))</f>
        <v>0</v>
      </c>
      <c r="S152" s="308">
        <f>SUMPRODUCT((ISNUMBER(SEARCH($Y7,Dienstplan!$B$25:$B$36))*(ISNUMBER(SEARCH($AB$19,Dienstplan!$CQ$25:$DV$36)))))</f>
        <v>1</v>
      </c>
      <c r="T152" s="302">
        <f t="shared" si="61"/>
        <v>147</v>
      </c>
      <c r="U152" s="330">
        <f>SUM($C152*Frueh_1+$D152*Spaet_1+$E152*Nacht_1+$F152*Normal_1+$I152*Sonderd_1-$J152*Krie_B+$K152*Krie_B+$L152*EH_Kurs+$M152*Koor_taet+$N152*Sekre_1+$O152*Krie_B+$R152*Krie_B+$P152*Krie_B+$Q152*Krie_B+G152*Krie_B+H152*Krie_B)</f>
        <v>37.5</v>
      </c>
      <c r="V152" s="308">
        <f t="shared" si="62"/>
        <v>-109.5</v>
      </c>
      <c r="W152" s="318">
        <f t="shared" si="63"/>
        <v>-609.25</v>
      </c>
    </row>
    <row r="153" ht="12.75" customHeight="1">
      <c r="A153" s="308"/>
      <c r="B153" s="329" t="str">
        <f t="shared" si="60"/>
        <v>Zeller</v>
      </c>
      <c r="C153" s="302">
        <f>SUMPRODUCT((ISNUMBER(SEARCH($Y8,Dienstplan!$B$25:$B$36))*(ISNUMBER(SEARCH($AB$3,Dienstplan!$CQ$25:$DV$36)))))-D153</f>
        <v>0</v>
      </c>
      <c r="D153" s="302">
        <f>SUMPRODUCT((ISNUMBER(SEARCH($Y8,Dienstplan!$B$25:$B$36))*(ISNUMBER(SEARCH($AB$4,Dienstplan!$CQ$25:$DV$36)))))</f>
        <v>0</v>
      </c>
      <c r="E153" s="302">
        <f>SUMPRODUCT((ISNUMBER(SEARCH($Y8,Dienstplan!$B$25:$B$36))*(ISNUMBER(SEARCH($AB$5,Dienstplan!$CQ$25:$DV$36)))))</f>
        <v>0</v>
      </c>
      <c r="F153" s="302">
        <f>SUMPRODUCT((ISNUMBER(SEARCH($Y8,Dienstplan!$B$25:$B$36))*(ISNUMBER(SEARCH($AB$6,Dienstplan!$CQ$25:$DV$36)))))</f>
        <v>5</v>
      </c>
      <c r="G153" s="302">
        <f>SUMPRODUCT((ISNUMBER(SEARCH($Y8,Dienstplan!$B$25:$B$36))*(ISNUMBER(SEARCH($AB$7,Dienstplan!$CQ$25:$DV$36)))))-H153</f>
        <v>0</v>
      </c>
      <c r="H153" s="302">
        <f>SUMPRODUCT((ISNUMBER(SEARCH($Y8,Dienstplan!$B$25:$B$36))*(ISNUMBER(SEARCH($AB$8,Dienstplan!$CQ$25:$DV$36)))))</f>
        <v>0</v>
      </c>
      <c r="I153" s="302">
        <f>SUMPRODUCT((ISNUMBER(SEARCH($Y8,Dienstplan!$B$25:$B$36))*(ISNUMBER(SEARCH($AB$9,Dienstplan!$CQ$25:$DV$36)))))</f>
        <v>0</v>
      </c>
      <c r="J153" s="302">
        <f>SUMPRODUCT((ISNUMBER(SEARCH($Y8,Dienstplan!$B$25:$B$36))*(ISNUMBER(SEARCH($AB$10,Dienstplan!$CQ$25:$DV$36)))))</f>
        <v>0</v>
      </c>
      <c r="K153" s="302">
        <f>SUMPRODUCT((ISNUMBER(SEARCH($Y8,Dienstplan!$B$25:$B$36))*(ISNUMBER(SEARCH($AB$11,Dienstplan!$CQ$25:$DV$36)))))-$Q153</f>
        <v>0</v>
      </c>
      <c r="L153" s="302">
        <f>SUMPRODUCT((ISNUMBER(SEARCH($Y8,Dienstplan!$B$25:$B$36))*(ISNUMBER(SEARCH($AB$12,Dienstplan!$CQ$25:$DV$36)))))</f>
        <v>0</v>
      </c>
      <c r="M153" s="302">
        <f>SUMPRODUCT((ISNUMBER(SEARCH($Y8,Dienstplan!$B$25:$B$36))*(ISNUMBER(SEARCH($AB$13,Dienstplan!$CQ$25:$DV$36)))))</f>
        <v>0</v>
      </c>
      <c r="N153" s="302">
        <f>SUMPRODUCT((ISNUMBER(SEARCH($Y8,Dienstplan!$B$25:$B$36))*(ISNUMBER(SEARCH($AB$14,Dienstplan!$CQ$25:$DV$36)))))</f>
        <v>0</v>
      </c>
      <c r="O153" s="302">
        <f>SUMPRODUCT((ISNUMBER(SEARCH($Y8,Dienstplan!$B$25:$B$36))*(ISNUMBER(SEARCH($AB$15,Dienstplan!$CQ$25:$DV$36)))))</f>
        <v>1</v>
      </c>
      <c r="P153" s="302">
        <f>SUMPRODUCT((ISNUMBER(SEARCH($Y8,Dienstplan!$B$25:$B$36))*(ISNUMBER(SEARCH($AB$16,Dienstplan!$CQ$25:$DV$36)))))</f>
        <v>0</v>
      </c>
      <c r="Q153" s="302">
        <f>SUMPRODUCT((ISNUMBER(SEARCH($Y8,Dienstplan!$B$25:$B$36))*(ISNUMBER(SEARCH($AB$16,Dienstplan!$CQ$25:$DV$36)))))</f>
        <v>0</v>
      </c>
      <c r="R153" s="302">
        <f>SUMPRODUCT((ISNUMBER(SEARCH($Y8,Dienstplan!$B$25:$B$36))*(ISNUMBER(SEARCH($AB$18,Dienstplan!$CQ$25:$DV$36)))))</f>
        <v>0</v>
      </c>
      <c r="S153" s="308">
        <f>SUMPRODUCT((ISNUMBER(SEARCH($Y8,Dienstplan!$B$25:$B$36))*(ISNUMBER(SEARCH($AB$19,Dienstplan!$CQ$25:$DV$36)))))</f>
        <v>1</v>
      </c>
      <c r="T153" s="302">
        <f t="shared" si="61"/>
        <v>168</v>
      </c>
      <c r="U153" s="330">
        <f>SUM($C153*Frueh_1+$D153*Spaet_1+$E153*Nacht_1+$F153*Normal_1+$I153*Sonderd_1-$J153*Muster+$K153*Muster+$L153*EH_Kurs+$M153*Koor_taet+$N153*Sekre_1+$O153*Muster+$P153*Muster+$Q153*Muster+$R153*Muster+G153*Muster+H153*Muster)</f>
        <v>45.5</v>
      </c>
      <c r="V153" s="308">
        <f t="shared" si="62"/>
        <v>-122.5</v>
      </c>
      <c r="W153" s="318">
        <f t="shared" si="63"/>
        <v>-821.25</v>
      </c>
    </row>
    <row r="154" ht="12.75" customHeight="1">
      <c r="A154" s="308"/>
      <c r="B154" s="329" t="str">
        <f t="shared" si="60"/>
        <v>Behrendt</v>
      </c>
      <c r="C154" s="302">
        <f>SUMPRODUCT((ISNUMBER(SEARCH($Y9,Dienstplan!$B$25:$B$36))*(ISNUMBER(SEARCH($AB$3,Dienstplan!$CQ$25:$DV$36)))))-D154</f>
        <v>0</v>
      </c>
      <c r="D154" s="302">
        <f>SUMPRODUCT((ISNUMBER(SEARCH($Y9,Dienstplan!$B$25:$B$36))*(ISNUMBER(SEARCH($AB$4,Dienstplan!$CQ$25:$DV$36)))))</f>
        <v>0</v>
      </c>
      <c r="E154" s="302">
        <f>SUMPRODUCT((ISNUMBER(SEARCH($Y9,Dienstplan!$B$25:$B$36))*(ISNUMBER(SEARCH($AB$5,Dienstplan!$CQ$25:$DV$36)))))</f>
        <v>0</v>
      </c>
      <c r="F154" s="302">
        <f>SUMPRODUCT((ISNUMBER(SEARCH($Y9,Dienstplan!$B$25:$B$36))*(ISNUMBER(SEARCH($AB$6,Dienstplan!$CQ$25:$DV$36)))))</f>
        <v>5</v>
      </c>
      <c r="G154" s="302">
        <f>SUMPRODUCT((ISNUMBER(SEARCH($Y9,Dienstplan!$B$25:$B$36))*(ISNUMBER(SEARCH($AB$7,Dienstplan!$CQ$25:$DV$36)))))-H154</f>
        <v>0</v>
      </c>
      <c r="H154" s="302">
        <f>SUMPRODUCT((ISNUMBER(SEARCH($Y9,Dienstplan!$B$25:$B$36))*(ISNUMBER(SEARCH($AB$8,Dienstplan!$CQ$25:$DV$36)))))</f>
        <v>0</v>
      </c>
      <c r="I154" s="302">
        <f>SUMPRODUCT((ISNUMBER(SEARCH($Y9,Dienstplan!$B$25:$B$36))*(ISNUMBER(SEARCH($AB$9,Dienstplan!$CQ$25:$DV$36)))))</f>
        <v>0</v>
      </c>
      <c r="J154" s="302">
        <f>SUMPRODUCT((ISNUMBER(SEARCH($Y9,Dienstplan!$B$25:$B$36))*(ISNUMBER(SEARCH($AB$10,Dienstplan!$CQ$25:$DV$36)))))</f>
        <v>0</v>
      </c>
      <c r="K154" s="302">
        <f>SUMPRODUCT((ISNUMBER(SEARCH($Y9,Dienstplan!$B$25:$B$36))*(ISNUMBER(SEARCH($AB$11,Dienstplan!$CQ$25:$DV$36)))))-$Q154</f>
        <v>0</v>
      </c>
      <c r="L154" s="302">
        <f>SUMPRODUCT((ISNUMBER(SEARCH($Y9,Dienstplan!$B$25:$B$36))*(ISNUMBER(SEARCH($AB$12,Dienstplan!$CQ$25:$DV$36)))))</f>
        <v>0</v>
      </c>
      <c r="M154" s="302">
        <f>SUMPRODUCT((ISNUMBER(SEARCH($Y9,Dienstplan!$B$25:$B$36))*(ISNUMBER(SEARCH($AB$13,Dienstplan!$CQ$25:$DV$36)))))</f>
        <v>0</v>
      </c>
      <c r="N154" s="302">
        <f>SUMPRODUCT((ISNUMBER(SEARCH($Y9,Dienstplan!$B$25:$B$36))*(ISNUMBER(SEARCH($AB$14,Dienstplan!$CQ$25:$DV$36)))))</f>
        <v>0</v>
      </c>
      <c r="O154" s="302">
        <f>SUMPRODUCT((ISNUMBER(SEARCH($Y9,Dienstplan!$B$25:$B$36))*(ISNUMBER(SEARCH($AB$15,Dienstplan!$CQ$25:$DV$36)))))</f>
        <v>1</v>
      </c>
      <c r="P154" s="302">
        <f>SUMPRODUCT((ISNUMBER(SEARCH($Y9,Dienstplan!$B$25:$B$36))*(ISNUMBER(SEARCH($AB$16,Dienstplan!$CQ$25:$DV$36)))))</f>
        <v>0</v>
      </c>
      <c r="Q154" s="302">
        <f>SUMPRODUCT((ISNUMBER(SEARCH($Y9,Dienstplan!$B$25:$B$36))*(ISNUMBER(SEARCH($AB$16,Dienstplan!$CQ$25:$DV$36)))))</f>
        <v>0</v>
      </c>
      <c r="R154" s="302">
        <f>SUMPRODUCT((ISNUMBER(SEARCH($Y9,Dienstplan!$B$25:$B$36))*(ISNUMBER(SEARCH($AB$18,Dienstplan!$CQ$25:$DV$36)))))</f>
        <v>0</v>
      </c>
      <c r="S154" s="308">
        <f>SUMPRODUCT((ISNUMBER(SEARCH($Y9,Dienstplan!$B$25:$B$36))*(ISNUMBER(SEARCH($AB$19,Dienstplan!$CQ$25:$DV$36)))))</f>
        <v>1</v>
      </c>
      <c r="T154" s="302">
        <f t="shared" si="61"/>
        <v>147</v>
      </c>
      <c r="U154" s="330">
        <f>SUM($C154*Frueh_1+$D154*Spaet_1+$E154*Nacht_1+$F154*Normal_1+$I154*Sonderd_1-$J154*Muster+$K154*Muster+$L154*EH_Kurs+$M154*Koor_taet+$N154*Sekre_1+$O154*Muster+$P154*Muster+$Q154*Muster+$R154*Muster+G154*Muster+H154*Muster)</f>
        <v>45.5</v>
      </c>
      <c r="V154" s="308">
        <f t="shared" si="62"/>
        <v>-101.5</v>
      </c>
      <c r="W154" s="318">
        <f t="shared" si="63"/>
        <v>-731.95</v>
      </c>
    </row>
    <row r="155" ht="12.75" customHeight="1">
      <c r="A155" s="308"/>
      <c r="B155" s="329" t="str">
        <f t="shared" si="60"/>
        <v>Krempl</v>
      </c>
      <c r="C155" s="302">
        <f>SUMPRODUCT((ISNUMBER(SEARCH($Y10,Dienstplan!$B$25:$B$36))*(ISNUMBER(SEARCH($AB$3,Dienstplan!$CQ$25:$DV$36)))))-D155</f>
        <v>0</v>
      </c>
      <c r="D155" s="302">
        <f>SUMPRODUCT((ISNUMBER(SEARCH($Y10,Dienstplan!$B$25:$B$36))*(ISNUMBER(SEARCH($AB$4,Dienstplan!$CQ$25:$DV$36)))))</f>
        <v>0</v>
      </c>
      <c r="E155" s="302">
        <f>SUMPRODUCT((ISNUMBER(SEARCH($Y10,Dienstplan!$B$25:$B$36))*(ISNUMBER(SEARCH($AB$5,Dienstplan!$CQ$25:$DV$36)))))</f>
        <v>0</v>
      </c>
      <c r="F155" s="302">
        <f>SUMPRODUCT((ISNUMBER(SEARCH($Y10,Dienstplan!$B$25:$B$36))*(ISNUMBER(SEARCH($AB$6,Dienstplan!$CQ$25:$DV$36)))))</f>
        <v>0</v>
      </c>
      <c r="G155" s="302">
        <f>SUMPRODUCT((ISNUMBER(SEARCH($Y10,Dienstplan!$B$25:$B$36))*(ISNUMBER(SEARCH($AB$7,Dienstplan!$CQ$25:$DV$36)))))-H155</f>
        <v>0</v>
      </c>
      <c r="H155" s="302">
        <f>SUMPRODUCT((ISNUMBER(SEARCH($Y10,Dienstplan!$B$25:$B$36))*(ISNUMBER(SEARCH($AB$8,Dienstplan!$CQ$25:$DV$36)))))</f>
        <v>0</v>
      </c>
      <c r="I155" s="302">
        <f>SUMPRODUCT((ISNUMBER(SEARCH($Y10,Dienstplan!$B$25:$B$36))*(ISNUMBER(SEARCH($AB$9,Dienstplan!$CQ$25:$DV$36)))))</f>
        <v>0</v>
      </c>
      <c r="J155" s="302">
        <f>SUMPRODUCT((ISNUMBER(SEARCH($Y10,Dienstplan!$B$25:$B$36))*(ISNUMBER(SEARCH($AB$10,Dienstplan!$CQ$25:$DV$36)))))</f>
        <v>0</v>
      </c>
      <c r="K155" s="302">
        <f>SUMPRODUCT((ISNUMBER(SEARCH($Y10,Dienstplan!$B$25:$B$36))*(ISNUMBER(SEARCH($AB$11,Dienstplan!$CQ$25:$DV$36)))))-$Q155</f>
        <v>0</v>
      </c>
      <c r="L155" s="302">
        <f>SUMPRODUCT((ISNUMBER(SEARCH($Y10,Dienstplan!$B$25:$B$36))*(ISNUMBER(SEARCH($AB$12,Dienstplan!$CQ$25:$DV$36)))))</f>
        <v>0</v>
      </c>
      <c r="M155" s="302">
        <f>SUMPRODUCT((ISNUMBER(SEARCH($Y10,Dienstplan!$B$25:$B$36))*(ISNUMBER(SEARCH($AB$13,Dienstplan!$CQ$25:$DV$36)))))</f>
        <v>0</v>
      </c>
      <c r="N155" s="302">
        <f>SUMPRODUCT((ISNUMBER(SEARCH($Y10,Dienstplan!$B$25:$B$36))*(ISNUMBER(SEARCH($AB$14,Dienstplan!$CQ$25:$DV$36)))))</f>
        <v>0</v>
      </c>
      <c r="O155" s="302">
        <f>SUMPRODUCT((ISNUMBER(SEARCH($Y10,Dienstplan!$B$25:$B$36))*(ISNUMBER(SEARCH($AB$15,Dienstplan!$CQ$25:$DV$36)))))</f>
        <v>0</v>
      </c>
      <c r="P155" s="302">
        <f>SUMPRODUCT((ISNUMBER(SEARCH($Y10,Dienstplan!$B$25:$B$36))*(ISNUMBER(SEARCH($AB$16,Dienstplan!$CQ$25:$DV$36)))))</f>
        <v>0</v>
      </c>
      <c r="Q155" s="302">
        <f>SUMPRODUCT((ISNUMBER(SEARCH($Y10,Dienstplan!$B$25:$B$36))*(ISNUMBER(SEARCH($AB$16,Dienstplan!$CQ$25:$DV$36)))))</f>
        <v>0</v>
      </c>
      <c r="R155" s="302">
        <f>SUMPRODUCT((ISNUMBER(SEARCH($Y10,Dienstplan!$B$25:$B$36))*(ISNUMBER(SEARCH($AB$18,Dienstplan!$CQ$25:$DV$36)))))</f>
        <v>0</v>
      </c>
      <c r="S155" s="308">
        <f>SUMPRODUCT((ISNUMBER(SEARCH($Y10,Dienstplan!$B$25:$B$36))*(ISNUMBER(SEARCH($AB$19,Dienstplan!$CQ$25:$DV$36)))))</f>
        <v>0</v>
      </c>
      <c r="T155" s="302">
        <f t="shared" si="61"/>
        <v>67.2</v>
      </c>
      <c r="U155" s="330">
        <f>SUM($C155*Frueh_1+$D155*Spaet_1+$E155*Nacht_1+$F155*Normal_1+$I155*Sonderd_1-$J155*Krem_E+$K155*Krem_E+$L155*EH_Kurs+$M155*Koor_taet+$N155*Sekre_1+$O155*Krem_E+$R155*Krem_E+$P155*Krem_E+$Q155*Krem_E+G155*Krem_E+H155*Krem_E)</f>
        <v>0</v>
      </c>
      <c r="V155" s="308">
        <f t="shared" si="62"/>
        <v>-67.2</v>
      </c>
      <c r="W155" s="318">
        <f t="shared" si="63"/>
        <v>-518.3</v>
      </c>
    </row>
    <row r="156" ht="12.75" customHeight="1">
      <c r="A156" s="308"/>
      <c r="B156" s="329" t="str">
        <f t="shared" si="60"/>
        <v>Putschler</v>
      </c>
      <c r="C156" s="302">
        <f>SUMPRODUCT((ISNUMBER(SEARCH($Y11,Dienstplan!$B$25:$B$36))*(ISNUMBER(SEARCH($AB$3,Dienstplan!$CQ$25:$DV$36)))))-D156</f>
        <v>0</v>
      </c>
      <c r="D156" s="302">
        <f>SUMPRODUCT((ISNUMBER(SEARCH($Y11,Dienstplan!$B$25:$B$36))*(ISNUMBER(SEARCH($AB$4,Dienstplan!$CQ$25:$DV$36)))))</f>
        <v>0</v>
      </c>
      <c r="E156" s="302">
        <f>SUMPRODUCT((ISNUMBER(SEARCH($Y11,Dienstplan!$B$25:$B$36))*(ISNUMBER(SEARCH($AB$5,Dienstplan!$CQ$25:$DV$36)))))</f>
        <v>0</v>
      </c>
      <c r="F156" s="302">
        <f>SUMPRODUCT((ISNUMBER(SEARCH($Y11,Dienstplan!$B$25:$B$36))*(ISNUMBER(SEARCH($AB$6,Dienstplan!$CQ$25:$DV$36)))))</f>
        <v>0</v>
      </c>
      <c r="G156" s="302">
        <f>SUMPRODUCT((ISNUMBER(SEARCH($Y11,Dienstplan!$B$25:$B$36))*(ISNUMBER(SEARCH($AB$7,Dienstplan!$CQ$25:$DV$36)))))-H156</f>
        <v>0</v>
      </c>
      <c r="H156" s="302">
        <f>SUMPRODUCT((ISNUMBER(SEARCH($Y11,Dienstplan!$B$25:$B$36))*(ISNUMBER(SEARCH($AB$8,Dienstplan!$CQ$25:$DV$36)))))</f>
        <v>0</v>
      </c>
      <c r="I156" s="302">
        <f>SUMPRODUCT((ISNUMBER(SEARCH($Y11,Dienstplan!$B$25:$B$36))*(ISNUMBER(SEARCH($AB$9,Dienstplan!$CQ$25:$DV$36)))))</f>
        <v>0</v>
      </c>
      <c r="J156" s="302">
        <f>SUMPRODUCT((ISNUMBER(SEARCH($Y11,Dienstplan!$B$25:$B$36))*(ISNUMBER(SEARCH($AB$10,Dienstplan!$CQ$25:$DV$36)))))</f>
        <v>0</v>
      </c>
      <c r="K156" s="302">
        <f>SUMPRODUCT((ISNUMBER(SEARCH($Y11,Dienstplan!$B$25:$B$36))*(ISNUMBER(SEARCH($AB$11,Dienstplan!$CQ$25:$DV$36)))))-$Q156</f>
        <v>5</v>
      </c>
      <c r="L156" s="302">
        <f>SUMPRODUCT((ISNUMBER(SEARCH($Y11,Dienstplan!$B$25:$B$36))*(ISNUMBER(SEARCH($AB$12,Dienstplan!$CQ$25:$DV$36)))))</f>
        <v>0</v>
      </c>
      <c r="M156" s="302">
        <f>SUMPRODUCT((ISNUMBER(SEARCH($Y11,Dienstplan!$B$25:$B$36))*(ISNUMBER(SEARCH($AB$13,Dienstplan!$CQ$25:$DV$36)))))</f>
        <v>0</v>
      </c>
      <c r="N156" s="302">
        <f>SUMPRODUCT((ISNUMBER(SEARCH($Y11,Dienstplan!$B$25:$B$36))*(ISNUMBER(SEARCH($AB$14,Dienstplan!$CQ$25:$DV$36)))))</f>
        <v>0</v>
      </c>
      <c r="O156" s="302">
        <f>SUMPRODUCT((ISNUMBER(SEARCH($Y11,Dienstplan!$B$25:$B$36))*(ISNUMBER(SEARCH($AB$15,Dienstplan!$CQ$25:$DV$36)))))</f>
        <v>0</v>
      </c>
      <c r="P156" s="302">
        <f>SUMPRODUCT((ISNUMBER(SEARCH($Y11,Dienstplan!$B$25:$B$36))*(ISNUMBER(SEARCH($AB$16,Dienstplan!$CQ$25:$DV$36)))))</f>
        <v>0</v>
      </c>
      <c r="Q156" s="302">
        <f>SUMPRODUCT((ISNUMBER(SEARCH($Y11,Dienstplan!$B$25:$B$36))*(ISNUMBER(SEARCH($AB$16,Dienstplan!$CQ$25:$DV$36)))))</f>
        <v>0</v>
      </c>
      <c r="R156" s="302">
        <f>SUMPRODUCT((ISNUMBER(SEARCH($Y11,Dienstplan!$B$25:$B$36))*(ISNUMBER(SEARCH($AB$18,Dienstplan!$CQ$25:$DV$36)))))</f>
        <v>0</v>
      </c>
      <c r="S156" s="308">
        <f>SUMPRODUCT((ISNUMBER(SEARCH($Y11,Dienstplan!$B$25:$B$36))*(ISNUMBER(SEARCH($AB$19,Dienstplan!$CQ$25:$DV$36)))))</f>
        <v>0</v>
      </c>
      <c r="T156" s="302">
        <f t="shared" si="61"/>
        <v>168</v>
      </c>
      <c r="U156" s="330">
        <f>SUM($C156*Frueh_1+$D156*Spaet_1+$E156*Nacht_1+$F156*Normal_1+$I156*Sonderd_1-$J156*Put_W+$K156*Put_W+$L156*EH_Kurs+$M156*Koor_taet+$N156*Sekre_1+$O156*Put_W+$R156*Put_W+$P156*Put_W+$Q156*Put_W+G156*Put_W+H156*Put_W)</f>
        <v>40</v>
      </c>
      <c r="V156" s="308">
        <f t="shared" si="62"/>
        <v>-128</v>
      </c>
      <c r="W156" s="318">
        <f t="shared" si="63"/>
        <v>-1096</v>
      </c>
    </row>
    <row r="157" ht="12.75" customHeight="1">
      <c r="A157" s="308"/>
      <c r="B157" s="329" t="str">
        <f t="shared" si="60"/>
        <v>Schmidt</v>
      </c>
      <c r="C157" s="302">
        <f>SUMPRODUCT((ISNUMBER(SEARCH($Y12,Dienstplan!$B$25:$B$36))*(ISNUMBER(SEARCH($AB$3,Dienstplan!$CQ$25:$DV$36)))))-D157</f>
        <v>0</v>
      </c>
      <c r="D157" s="302">
        <f>SUMPRODUCT((ISNUMBER(SEARCH($Y12,Dienstplan!$B$25:$B$36))*(ISNUMBER(SEARCH($AB$4,Dienstplan!$CQ$25:$DV$36)))))</f>
        <v>0</v>
      </c>
      <c r="E157" s="302">
        <f>SUMPRODUCT((ISNUMBER(SEARCH($Y12,Dienstplan!$B$25:$B$36))*(ISNUMBER(SEARCH($AB$5,Dienstplan!$CQ$25:$DV$36)))))</f>
        <v>0</v>
      </c>
      <c r="F157" s="302">
        <f>SUMPRODUCT((ISNUMBER(SEARCH($Y12,Dienstplan!$B$25:$B$36))*(ISNUMBER(SEARCH($AB$6,Dienstplan!$CQ$25:$DV$36)))))</f>
        <v>0</v>
      </c>
      <c r="G157" s="302">
        <f>SUMPRODUCT((ISNUMBER(SEARCH($Y12,Dienstplan!$B$25:$B$36))*(ISNUMBER(SEARCH($AB$7,Dienstplan!$CQ$25:$DV$36)))))-H157</f>
        <v>0</v>
      </c>
      <c r="H157" s="302">
        <f>SUMPRODUCT((ISNUMBER(SEARCH($Y12,Dienstplan!$B$25:$B$36))*(ISNUMBER(SEARCH($AB$8,Dienstplan!$CQ$25:$DV$36)))))</f>
        <v>0</v>
      </c>
      <c r="I157" s="302">
        <f>SUMPRODUCT((ISNUMBER(SEARCH($Y12,Dienstplan!$B$25:$B$36))*(ISNUMBER(SEARCH($AB$9,Dienstplan!$CQ$25:$DV$36)))))</f>
        <v>0</v>
      </c>
      <c r="J157" s="302">
        <f>SUMPRODUCT((ISNUMBER(SEARCH($Y12,Dienstplan!$B$25:$B$36))*(ISNUMBER(SEARCH($AB$10,Dienstplan!$CQ$25:$DV$36)))))</f>
        <v>0</v>
      </c>
      <c r="K157" s="302">
        <f>SUMPRODUCT((ISNUMBER(SEARCH($Y12,Dienstplan!$B$25:$B$36))*(ISNUMBER(SEARCH($AB$11,Dienstplan!$CQ$25:$DV$36)))))-$Q157</f>
        <v>4</v>
      </c>
      <c r="L157" s="302">
        <f>SUMPRODUCT((ISNUMBER(SEARCH($Y12,Dienstplan!$B$25:$B$36))*(ISNUMBER(SEARCH($AB$12,Dienstplan!$CQ$25:$DV$36)))))</f>
        <v>0</v>
      </c>
      <c r="M157" s="302">
        <f>SUMPRODUCT((ISNUMBER(SEARCH($Y12,Dienstplan!$B$25:$B$36))*(ISNUMBER(SEARCH($AB$13,Dienstplan!$CQ$25:$DV$36)))))</f>
        <v>0</v>
      </c>
      <c r="N157" s="302">
        <f>SUMPRODUCT((ISNUMBER(SEARCH($Y12,Dienstplan!$B$25:$B$36))*(ISNUMBER(SEARCH($AB$14,Dienstplan!$CQ$25:$DV$36)))))</f>
        <v>0</v>
      </c>
      <c r="O157" s="302">
        <f>SUMPRODUCT((ISNUMBER(SEARCH($Y12,Dienstplan!$B$25:$B$36))*(ISNUMBER(SEARCH($AB$15,Dienstplan!$CQ$25:$DV$36)))))</f>
        <v>0</v>
      </c>
      <c r="P157" s="302">
        <f>SUMPRODUCT((ISNUMBER(SEARCH($Y12,Dienstplan!$B$25:$B$36))*(ISNUMBER(SEARCH($AB$16,Dienstplan!$CQ$25:$DV$36)))))</f>
        <v>0</v>
      </c>
      <c r="Q157" s="302">
        <f>SUMPRODUCT((ISNUMBER(SEARCH($Y12,Dienstplan!$B$25:$B$36))*(ISNUMBER(SEARCH($AB$16,Dienstplan!$CQ$25:$DV$36)))))</f>
        <v>0</v>
      </c>
      <c r="R157" s="302">
        <f>SUMPRODUCT((ISNUMBER(SEARCH($Y12,Dienstplan!$B$25:$B$36))*(ISNUMBER(SEARCH($AB$18,Dienstplan!$CQ$25:$DV$36)))))</f>
        <v>0</v>
      </c>
      <c r="S157" s="308">
        <f>SUMPRODUCT((ISNUMBER(SEARCH($Y12,Dienstplan!$B$25:$B$36))*(ISNUMBER(SEARCH($AB$19,Dienstplan!$CQ$25:$DV$36)))))</f>
        <v>0</v>
      </c>
      <c r="T157" s="302">
        <f t="shared" si="61"/>
        <v>147</v>
      </c>
      <c r="U157" s="330">
        <f>SUM($C157*Frueh_1+$D157*Spaet_1+$E157*Nacht_1+$F157*Normal_1+$I157*Sonderd_1-$J157*Radi_L+$K157*Radi_L+$L157*EH_Kurs+$M157*Koor_taet+$N157*Sekre_1+$O157*Radi_L+$R157*Radi_L+$P157*Radi_L+$Q157*Radi_L+G157*Radi_L+H157*Radi_L)</f>
        <v>28</v>
      </c>
      <c r="V157" s="308">
        <f t="shared" si="62"/>
        <v>-119</v>
      </c>
      <c r="W157" s="318">
        <f t="shared" si="63"/>
        <v>-1211</v>
      </c>
    </row>
    <row r="158" ht="12.75" customHeight="1">
      <c r="A158" s="308"/>
      <c r="B158" s="329" t="str">
        <f t="shared" si="60"/>
        <v>Radimersky</v>
      </c>
      <c r="C158" s="302">
        <f>SUMPRODUCT((ISNUMBER(SEARCH($Y13,Dienstplan!$B$25:$B$36))*(ISNUMBER(SEARCH($AB$3,Dienstplan!$CQ$25:$DV$36)))))-D158</f>
        <v>0</v>
      </c>
      <c r="D158" s="302">
        <f>SUMPRODUCT((ISNUMBER(SEARCH($Y13,Dienstplan!$B$25:$B$36))*(ISNUMBER(SEARCH($AB$4,Dienstplan!$CQ$25:$DV$36)))))</f>
        <v>0</v>
      </c>
      <c r="E158" s="302">
        <f>SUMPRODUCT((ISNUMBER(SEARCH($Y13,Dienstplan!$B$25:$B$36))*(ISNUMBER(SEARCH($AB$5,Dienstplan!$CQ$25:$DV$36)))))</f>
        <v>0</v>
      </c>
      <c r="F158" s="302">
        <f>SUMPRODUCT((ISNUMBER(SEARCH($Y13,Dienstplan!$B$25:$B$36))*(ISNUMBER(SEARCH($AB$6,Dienstplan!$CQ$25:$DV$36)))))</f>
        <v>0</v>
      </c>
      <c r="G158" s="302">
        <f>SUMPRODUCT((ISNUMBER(SEARCH($Y13,Dienstplan!$B$25:$B$36))*(ISNUMBER(SEARCH($AB$7,Dienstplan!$CQ$25:$DV$36)))))-H158</f>
        <v>0</v>
      </c>
      <c r="H158" s="302">
        <f>SUMPRODUCT((ISNUMBER(SEARCH($Y13,Dienstplan!$B$25:$B$36))*(ISNUMBER(SEARCH($AB$8,Dienstplan!$CQ$25:$DV$36)))))</f>
        <v>0</v>
      </c>
      <c r="I158" s="302">
        <f>SUMPRODUCT((ISNUMBER(SEARCH($Y13,Dienstplan!$B$25:$B$36))*(ISNUMBER(SEARCH($AB$9,Dienstplan!$CQ$25:$DV$36)))))</f>
        <v>0</v>
      </c>
      <c r="J158" s="302">
        <f>SUMPRODUCT((ISNUMBER(SEARCH($Y13,Dienstplan!$B$25:$B$36))*(ISNUMBER(SEARCH($AB$10,Dienstplan!$CQ$25:$DV$36)))))</f>
        <v>0</v>
      </c>
      <c r="K158" s="302">
        <f>SUMPRODUCT((ISNUMBER(SEARCH($Y13,Dienstplan!$B$25:$B$36))*(ISNUMBER(SEARCH($AB$11,Dienstplan!$CQ$25:$DV$36)))))-$Q158</f>
        <v>5</v>
      </c>
      <c r="L158" s="302">
        <f>SUMPRODUCT((ISNUMBER(SEARCH($Y13,Dienstplan!$B$25:$B$36))*(ISNUMBER(SEARCH($AB$12,Dienstplan!$CQ$25:$DV$36)))))</f>
        <v>0</v>
      </c>
      <c r="M158" s="302">
        <f>SUMPRODUCT((ISNUMBER(SEARCH($Y13,Dienstplan!$B$25:$B$36))*(ISNUMBER(SEARCH($AB$13,Dienstplan!$CQ$25:$DV$36)))))</f>
        <v>0</v>
      </c>
      <c r="N158" s="302">
        <f>SUMPRODUCT((ISNUMBER(SEARCH($Y13,Dienstplan!$B$25:$B$36))*(ISNUMBER(SEARCH($AB$14,Dienstplan!$CQ$25:$DV$36)))))</f>
        <v>0</v>
      </c>
      <c r="O158" s="302">
        <f>SUMPRODUCT((ISNUMBER(SEARCH($Y13,Dienstplan!$B$25:$B$36))*(ISNUMBER(SEARCH($AB$15,Dienstplan!$CQ$25:$DV$36)))))</f>
        <v>0</v>
      </c>
      <c r="P158" s="302">
        <f>SUMPRODUCT((ISNUMBER(SEARCH($Y13,Dienstplan!$B$25:$B$36))*(ISNUMBER(SEARCH($AB$16,Dienstplan!$CQ$25:$DV$36)))))</f>
        <v>0</v>
      </c>
      <c r="Q158" s="302">
        <f>SUMPRODUCT((ISNUMBER(SEARCH($Y13,Dienstplan!$B$25:$B$36))*(ISNUMBER(SEARCH($AB$16,Dienstplan!$CQ$25:$DV$36)))))</f>
        <v>0</v>
      </c>
      <c r="R158" s="302">
        <f>SUMPRODUCT((ISNUMBER(SEARCH($Y13,Dienstplan!$B$25:$B$36))*(ISNUMBER(SEARCH($AB$18,Dienstplan!$CQ$25:$DV$36)))))</f>
        <v>0</v>
      </c>
      <c r="S158" s="308">
        <f>SUMPRODUCT((ISNUMBER(SEARCH($Y13,Dienstplan!$B$25:$B$36))*(ISNUMBER(SEARCH($AB$19,Dienstplan!$CQ$25:$DV$36)))))</f>
        <v>0</v>
      </c>
      <c r="T158" s="302">
        <f t="shared" si="61"/>
        <v>63</v>
      </c>
      <c r="U158" s="330">
        <f>SUM($C158*Frueh_1+$D158*Spaet_1+$E158*Nacht_1+$F158*Normal_1+$I158*Sonderd_1-$J158*Fortenb+$K158*Fortenb+$L158*EH_Kurs+$M158*Koor_taet+$N158*Sekre_1+$O158*Fortenb+$R158*Fortenb+$P158*Fortenb+$Q158*Fortenb+G158*Fortenb+H158*Fortenb)</f>
        <v>15</v>
      </c>
      <c r="V158" s="308">
        <f t="shared" si="62"/>
        <v>-48</v>
      </c>
      <c r="W158" s="318">
        <f t="shared" si="63"/>
        <v>-504</v>
      </c>
    </row>
    <row r="159" ht="12.75" customHeight="1">
      <c r="A159" s="308"/>
      <c r="B159" s="329"/>
      <c r="S159" s="308"/>
      <c r="V159" s="308"/>
      <c r="W159" s="318"/>
    </row>
    <row r="160" ht="12.75" customHeight="1">
      <c r="A160" s="308"/>
      <c r="B160" s="329" t="s">
        <v>134</v>
      </c>
      <c r="C160" s="303">
        <f t="shared" ref="C160:S160" si="64">SUM(C148:C159)</f>
        <v>0</v>
      </c>
      <c r="D160" s="303">
        <f t="shared" si="64"/>
        <v>0</v>
      </c>
      <c r="E160" s="303">
        <f t="shared" si="64"/>
        <v>0</v>
      </c>
      <c r="F160" s="303">
        <f t="shared" si="64"/>
        <v>21</v>
      </c>
      <c r="G160" s="303">
        <f t="shared" si="64"/>
        <v>0</v>
      </c>
      <c r="H160" s="303">
        <f t="shared" si="64"/>
        <v>0</v>
      </c>
      <c r="I160" s="303">
        <f t="shared" si="64"/>
        <v>0</v>
      </c>
      <c r="J160" s="303">
        <f t="shared" si="64"/>
        <v>0</v>
      </c>
      <c r="K160" s="303">
        <f t="shared" si="64"/>
        <v>28</v>
      </c>
      <c r="L160" s="303">
        <f t="shared" si="64"/>
        <v>0</v>
      </c>
      <c r="M160" s="303">
        <f t="shared" si="64"/>
        <v>0</v>
      </c>
      <c r="N160" s="303">
        <f t="shared" si="64"/>
        <v>0</v>
      </c>
      <c r="O160" s="303">
        <f t="shared" si="64"/>
        <v>2</v>
      </c>
      <c r="P160" s="303">
        <f t="shared" si="64"/>
        <v>0</v>
      </c>
      <c r="Q160" s="303">
        <f t="shared" si="64"/>
        <v>0</v>
      </c>
      <c r="R160" s="303">
        <f t="shared" si="64"/>
        <v>0</v>
      </c>
      <c r="S160" s="323">
        <f t="shared" si="64"/>
        <v>5</v>
      </c>
      <c r="T160" s="303">
        <f t="shared" ref="T160:U160" si="65">SUM(T148:T156)</f>
        <v>1327.2</v>
      </c>
      <c r="U160" s="303">
        <f t="shared" si="65"/>
        <v>315.5</v>
      </c>
      <c r="V160" s="323"/>
      <c r="W160" s="324"/>
    </row>
    <row r="161" ht="12.75" customHeight="1">
      <c r="A161" s="308"/>
      <c r="B161" s="309"/>
      <c r="C161" s="300"/>
      <c r="D161" s="300"/>
      <c r="E161" s="300"/>
      <c r="F161" s="300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9"/>
      <c r="T161" s="300"/>
      <c r="U161" s="300"/>
      <c r="V161" s="309"/>
      <c r="W161" s="310"/>
    </row>
    <row r="162" ht="12.75" customHeight="1">
      <c r="A162" s="308"/>
      <c r="B162" s="312" t="s">
        <v>167</v>
      </c>
      <c r="D162" s="313" t="s">
        <v>136</v>
      </c>
      <c r="E162" s="314"/>
      <c r="F162" s="315">
        <v>21.0</v>
      </c>
      <c r="G162" s="316"/>
      <c r="H162" s="317"/>
      <c r="I162" s="313" t="s">
        <v>137</v>
      </c>
      <c r="J162" s="314"/>
      <c r="K162" s="315">
        <v>4.0</v>
      </c>
      <c r="S162" s="308"/>
      <c r="V162" s="308"/>
      <c r="W162" s="318"/>
    </row>
    <row r="163" ht="12.75" customHeight="1">
      <c r="A163" s="308"/>
      <c r="B163" s="308"/>
      <c r="C163" s="303" t="str">
        <f>Jahr!C3</f>
        <v>FI</v>
      </c>
      <c r="D163" s="303" t="str">
        <f>Jahr!D3</f>
        <v>FII</v>
      </c>
      <c r="E163" s="303" t="str">
        <f>Jahr!E3</f>
        <v>SI</v>
      </c>
      <c r="F163" s="303" t="str">
        <f>Jahr!F3</f>
        <v>NI</v>
      </c>
      <c r="G163" s="303" t="str">
        <f>Jahr!G3</f>
        <v>DI</v>
      </c>
      <c r="H163" s="303" t="str">
        <f>Jahr!H3</f>
        <v>DII</v>
      </c>
      <c r="I163" s="303" t="str">
        <f>Jahr!I3</f>
        <v>SD</v>
      </c>
      <c r="J163" s="303" t="str">
        <f>Jahr!J3</f>
        <v>GT</v>
      </c>
      <c r="K163" s="303" t="str">
        <f>Jahr!K3</f>
        <v>U</v>
      </c>
      <c r="L163" s="303" t="str">
        <f>Jahr!L3</f>
        <v>EH</v>
      </c>
      <c r="M163" s="303" t="str">
        <f>Jahr!M3</f>
        <v>KT</v>
      </c>
      <c r="N163" s="303" t="str">
        <f>Jahr!N3</f>
        <v>Sek</v>
      </c>
      <c r="O163" s="303" t="str">
        <f>Jahr!O3</f>
        <v>Fobi</v>
      </c>
      <c r="P163" s="303" t="str">
        <f>Jahr!P3</f>
        <v>A</v>
      </c>
      <c r="Q163" s="303" t="str">
        <f>Jahr!Q3</f>
        <v>Kur</v>
      </c>
      <c r="R163" s="303" t="str">
        <f>Jahr!R3</f>
        <v>FZC</v>
      </c>
      <c r="S163" s="303" t="str">
        <f>Jahr!S3</f>
        <v>NST</v>
      </c>
      <c r="T163" s="358" t="s">
        <v>144</v>
      </c>
      <c r="U163" s="358" t="s">
        <v>145</v>
      </c>
      <c r="V163" s="323" t="s">
        <v>146</v>
      </c>
      <c r="W163" s="324" t="s">
        <v>147</v>
      </c>
    </row>
    <row r="164" ht="12.75" customHeight="1">
      <c r="A164" s="308"/>
      <c r="B164" s="329" t="str">
        <f t="shared" ref="B164:B174" si="66">B4</f>
        <v>Breig</v>
      </c>
      <c r="C164" s="302">
        <f>SUMPRODUCT((ISNUMBER(SEARCH($Y3,Dienstplan!$B$25:$B$36))*(ISNUMBER(SEARCH($AB$3,Dienstplan!$DV$25:$EY$36)))))-D164</f>
        <v>0</v>
      </c>
      <c r="D164" s="302">
        <f>SUMPRODUCT((ISNUMBER(SEARCH($Y3,Dienstplan!$B$25:$B$36))*(ISNUMBER(SEARCH($AB$4,Dienstplan!$DV$25:$EY$36)))))</f>
        <v>0</v>
      </c>
      <c r="E164" s="302">
        <f>SUMPRODUCT((ISNUMBER(SEARCH($Y3,Dienstplan!$B$25:$B$36))*(ISNUMBER(SEARCH($AB$5,Dienstplan!$DV$25:$EY$36)))))</f>
        <v>0</v>
      </c>
      <c r="F164" s="302">
        <f>SUMPRODUCT((ISNUMBER(SEARCH($Y3,Dienstplan!$B$25:$B$36))*(ISNUMBER(SEARCH($AB$6,Dienstplan!$DV$25:$EY$36)))))</f>
        <v>5</v>
      </c>
      <c r="G164" s="302">
        <f>SUMPRODUCT((ISNUMBER(SEARCH($Y3,Dienstplan!$B$25:$B$36))*(ISNUMBER(SEARCH($AB$7,Dienstplan!$DV$25:$EY$36)))))-H164</f>
        <v>0</v>
      </c>
      <c r="H164" s="302">
        <f>SUMPRODUCT((ISNUMBER(SEARCH($Y3,Dienstplan!$B$25:$B$36))*(ISNUMBER(SEARCH($AB$8,Dienstplan!$DV$25:$EY$36)))))</f>
        <v>0</v>
      </c>
      <c r="I164" s="302">
        <f>SUMPRODUCT((ISNUMBER(SEARCH($Y3,Dienstplan!$B$25:$B$36))*(ISNUMBER(SEARCH($AB$9,Dienstplan!$DV$25:$EY$36)))))</f>
        <v>0</v>
      </c>
      <c r="J164" s="302">
        <f>SUMPRODUCT((ISNUMBER(SEARCH($Y3,Dienstplan!$B$25:$B$36))*(ISNUMBER(SEARCH($AB$10,Dienstplan!$DV$25:$EY$36)))))</f>
        <v>0</v>
      </c>
      <c r="K164" s="302">
        <f>SUMPRODUCT((ISNUMBER(SEARCH($Y3,Dienstplan!$B$25:$B$36))*(ISNUMBER(SEARCH($AB$11,Dienstplan!$DV$25:$EY$36)))))-$Q164</f>
        <v>0</v>
      </c>
      <c r="L164" s="302">
        <f>SUMPRODUCT((ISNUMBER(SEARCH($Y3,Dienstplan!$B$25:$B$36))*(ISNUMBER(SEARCH($AB$12,Dienstplan!$DV$25:$EY$36)))))</f>
        <v>0</v>
      </c>
      <c r="M164" s="302">
        <f>SUMPRODUCT((ISNUMBER(SEARCH($Y3,Dienstplan!$B$25:$B$36))*(ISNUMBER(SEARCH($AB$13,Dienstplan!$DV$25:$EY$36)))))</f>
        <v>0</v>
      </c>
      <c r="N164" s="302">
        <f>SUMPRODUCT((ISNUMBER(SEARCH($Y3,Dienstplan!$B$25:$B$36))*(ISNUMBER(SEARCH($AB$14,Dienstplan!$DV$25:$EY$36)))))</f>
        <v>0</v>
      </c>
      <c r="O164" s="302">
        <f>SUMPRODUCT((ISNUMBER(SEARCH($Y3,Dienstplan!$B$25:$B$36))*(ISNUMBER(SEARCH($AB$15,Dienstplan!$DV$25:$EY$36)))))</f>
        <v>0</v>
      </c>
      <c r="P164" s="302">
        <f>SUMPRODUCT((ISNUMBER(SEARCH($Y3,Dienstplan!$B$25:$B$36))*(ISNUMBER(SEARCH($AB$16,Dienstplan!$DV$25:$EY$36)))))</f>
        <v>0</v>
      </c>
      <c r="Q164" s="302">
        <f>SUMPRODUCT((ISNUMBER(SEARCH($Y3,Dienstplan!$B$25:$B$36))*(ISNUMBER(SEARCH($AB$17,Dienstplan!$DV$25:$EY$36)))))</f>
        <v>0</v>
      </c>
      <c r="R164" s="302">
        <f>SUMPRODUCT((ISNUMBER(SEARCH($Y3,Dienstplan!$B$25:$B$36))*(ISNUMBER(SEARCH($AB$18,Dienstplan!$DV$25:$EY$36)))))</f>
        <v>0</v>
      </c>
      <c r="S164" s="308">
        <f>SUMPRODUCT((ISNUMBER(SEARCH($Y3,Dienstplan!$B$25:$B$36))*(ISNUMBER(SEARCH($AB$19,Dienstplan!$DV$25:$EY$36)))))</f>
        <v>1</v>
      </c>
      <c r="T164" s="302">
        <f t="shared" ref="T164:T174" si="67">SUM($F$162*$Z3)</f>
        <v>168</v>
      </c>
      <c r="U164" s="330">
        <f>SUM($C164*Frueh_1+$D164*Spaet_1+$E164*Nacht_1+$F164*Normal_1+$I164*Sonderd_1-$J164*Velten+$K164*Velten+$L164*EH_Kurs+$M164*Koor_taet+$N164*Sekre_1+$O164*Velten+$R164*Velten+$P164*Velten+$Q164*Velten+G164*Velt_M+H164*Velt_M)</f>
        <v>37.5</v>
      </c>
      <c r="V164" s="308">
        <f t="shared" ref="V164:V174" si="68">SUM($U164-$T164)</f>
        <v>-130.5</v>
      </c>
      <c r="W164" s="318">
        <f t="shared" ref="W164:W174" si="69">V164+W148</f>
        <v>-859</v>
      </c>
    </row>
    <row r="165" ht="12.75" customHeight="1">
      <c r="A165" s="308"/>
      <c r="B165" s="329" t="str">
        <f t="shared" si="66"/>
        <v>Siebert</v>
      </c>
      <c r="C165" s="302">
        <f>SUMPRODUCT((ISNUMBER(SEARCH($Y4,Dienstplan!$B$25:$B$36))*(ISNUMBER(SEARCH($AB$3,Dienstplan!$DV$25:$EY$36)))))-D165</f>
        <v>0</v>
      </c>
      <c r="D165" s="302">
        <f>SUMPRODUCT((ISNUMBER(SEARCH($Y4,Dienstplan!$B$25:$B$36))*(ISNUMBER(SEARCH($AB$4,Dienstplan!$DV$25:$EY$36)))))</f>
        <v>0</v>
      </c>
      <c r="E165" s="302">
        <f>SUMPRODUCT((ISNUMBER(SEARCH($Y4,Dienstplan!$B$25:$B$36))*(ISNUMBER(SEARCH($AB$5,Dienstplan!$DV$25:$EY$36)))))</f>
        <v>0</v>
      </c>
      <c r="F165" s="302">
        <f>SUMPRODUCT((ISNUMBER(SEARCH($Y4,Dienstplan!$B$25:$B$36))*(ISNUMBER(SEARCH($AB$6,Dienstplan!$DV$25:$EY$36)))))</f>
        <v>4</v>
      </c>
      <c r="G165" s="302">
        <f>SUMPRODUCT((ISNUMBER(SEARCH($Y4,Dienstplan!$B$25:$B$36))*(ISNUMBER(SEARCH($AB$7,Dienstplan!$DV$25:$EY$36)))))-H165</f>
        <v>0</v>
      </c>
      <c r="H165" s="302">
        <f>SUMPRODUCT((ISNUMBER(SEARCH($Y4,Dienstplan!$B$25:$B$36))*(ISNUMBER(SEARCH($AB$8,Dienstplan!$DV$25:$EY$36)))))</f>
        <v>0</v>
      </c>
      <c r="I165" s="302">
        <f>SUMPRODUCT((ISNUMBER(SEARCH($Y4,Dienstplan!$B$25:$B$36))*(ISNUMBER(SEARCH($AB$9,Dienstplan!$DV$25:$EY$36)))))</f>
        <v>0</v>
      </c>
      <c r="J165" s="302">
        <f>SUMPRODUCT((ISNUMBER(SEARCH($Y4,Dienstplan!$B$25:$B$36))*(ISNUMBER(SEARCH($AB$10,Dienstplan!$DV$25:$EY$36)))))</f>
        <v>0</v>
      </c>
      <c r="K165" s="302">
        <f>SUMPRODUCT((ISNUMBER(SEARCH($Y4,Dienstplan!$B$25:$B$36))*(ISNUMBER(SEARCH($AB$11,Dienstplan!$DV$25:$EY$36)))))-$Q165</f>
        <v>0</v>
      </c>
      <c r="L165" s="302">
        <f>SUMPRODUCT((ISNUMBER(SEARCH($Y4,Dienstplan!$B$25:$B$36))*(ISNUMBER(SEARCH($AB$12,Dienstplan!$DV$25:$EY$36)))))</f>
        <v>0</v>
      </c>
      <c r="M165" s="302">
        <f>SUMPRODUCT((ISNUMBER(SEARCH($Y4,Dienstplan!$B$25:$B$36))*(ISNUMBER(SEARCH($AB$13,Dienstplan!$DV$25:$EY$36)))))</f>
        <v>0</v>
      </c>
      <c r="N165" s="302">
        <f>SUMPRODUCT((ISNUMBER(SEARCH($Y4,Dienstplan!$B$25:$B$36))*(ISNUMBER(SEARCH($AB$14,Dienstplan!$DV$25:$EY$36)))))</f>
        <v>0</v>
      </c>
      <c r="O165" s="302">
        <f>SUMPRODUCT((ISNUMBER(SEARCH($Y4,Dienstplan!$B$25:$B$36))*(ISNUMBER(SEARCH($AB$15,Dienstplan!$DV$25:$EY$36)))))</f>
        <v>0</v>
      </c>
      <c r="P165" s="302">
        <f>SUMPRODUCT((ISNUMBER(SEARCH($Y4,Dienstplan!$B$25:$B$36))*(ISNUMBER(SEARCH($AB$16,Dienstplan!$DV$25:$EY$36)))))</f>
        <v>0</v>
      </c>
      <c r="Q165" s="302">
        <f>SUMPRODUCT((ISNUMBER(SEARCH($Y4,Dienstplan!$B$25:$B$36))*(ISNUMBER(SEARCH($AB$17,Dienstplan!$DV$25:$EY$36)))))</f>
        <v>0</v>
      </c>
      <c r="R165" s="302">
        <f>SUMPRODUCT((ISNUMBER(SEARCH($Y4,Dienstplan!$B$25:$B$36))*(ISNUMBER(SEARCH($AB$18,Dienstplan!$DV$25:$EY$36)))))</f>
        <v>0</v>
      </c>
      <c r="S165" s="308">
        <f>SUMPRODUCT((ISNUMBER(SEARCH($Y4,Dienstplan!$B$25:$B$36))*(ISNUMBER(SEARCH($AB$19,Dienstplan!$DV$25:$EY$36)))))</f>
        <v>1</v>
      </c>
      <c r="T165" s="302">
        <f t="shared" si="67"/>
        <v>147</v>
      </c>
      <c r="U165" s="330">
        <f>SUM($C165*Frueh_1+$D165*Spaet_1+$E165*Nacht_1+$F165*Normal_1+$I165*Sonderd_1-$J165*Brue_H+$K165*Brue_H+$L165*EH_Kurs+$M165*Koor_taet+$N165*Sekre_1+$O165*Brue_H+$R165*Brue_H+$P165*Brue_H+$Q165*Brue_H+G165*Brue_H+H165*Brue_H)</f>
        <v>30</v>
      </c>
      <c r="V165" s="308">
        <f t="shared" si="68"/>
        <v>-117</v>
      </c>
      <c r="W165" s="318">
        <f t="shared" si="69"/>
        <v>-730.25</v>
      </c>
    </row>
    <row r="166" ht="12.75" customHeight="1">
      <c r="A166" s="308"/>
      <c r="B166" s="329" t="str">
        <f t="shared" si="66"/>
        <v>Jochim</v>
      </c>
      <c r="C166" s="302">
        <f>SUMPRODUCT((ISNUMBER(SEARCH($Y5,Dienstplan!$B$25:$B$36))*(ISNUMBER(SEARCH($AB$3,Dienstplan!$DV$25:$EY$36)))))-D166</f>
        <v>0</v>
      </c>
      <c r="D166" s="302">
        <f>SUMPRODUCT((ISNUMBER(SEARCH($Y5,Dienstplan!$B$25:$B$36))*(ISNUMBER(SEARCH($AB$4,Dienstplan!$DV$25:$EY$36)))))</f>
        <v>0</v>
      </c>
      <c r="E166" s="302">
        <f>SUMPRODUCT((ISNUMBER(SEARCH($Y5,Dienstplan!$B$25:$B$36))*(ISNUMBER(SEARCH($AB$5,Dienstplan!$DV$25:$EY$36)))))</f>
        <v>0</v>
      </c>
      <c r="F166" s="302">
        <f>SUMPRODUCT((ISNUMBER(SEARCH($Y5,Dienstplan!$B$25:$B$36))*(ISNUMBER(SEARCH($AB$6,Dienstplan!$DV$25:$EY$36)))))</f>
        <v>0</v>
      </c>
      <c r="G166" s="302">
        <f>SUMPRODUCT((ISNUMBER(SEARCH($Y5,Dienstplan!$B$25:$B$36))*(ISNUMBER(SEARCH($AB$7,Dienstplan!$DV$25:$EY$36)))))-H166</f>
        <v>0</v>
      </c>
      <c r="H166" s="302">
        <f>SUMPRODUCT((ISNUMBER(SEARCH($Y5,Dienstplan!$B$25:$B$36))*(ISNUMBER(SEARCH($AB$8,Dienstplan!$DV$25:$EY$36)))))</f>
        <v>0</v>
      </c>
      <c r="I166" s="302">
        <f>SUMPRODUCT((ISNUMBER(SEARCH($Y5,Dienstplan!$B$25:$B$36))*(ISNUMBER(SEARCH($AB$9,Dienstplan!$DV$25:$EY$36)))))</f>
        <v>0</v>
      </c>
      <c r="J166" s="302">
        <f>SUMPRODUCT((ISNUMBER(SEARCH($Y5,Dienstplan!$B$25:$B$36))*(ISNUMBER(SEARCH($AB$10,Dienstplan!$DV$25:$EY$36)))))</f>
        <v>0</v>
      </c>
      <c r="K166" s="302">
        <f>SUMPRODUCT((ISNUMBER(SEARCH($Y5,Dienstplan!$B$25:$B$36))*(ISNUMBER(SEARCH($AB$11,Dienstplan!$DV$25:$EY$36)))))-$Q166</f>
        <v>0</v>
      </c>
      <c r="L166" s="302">
        <f>SUMPRODUCT((ISNUMBER(SEARCH($Y5,Dienstplan!$B$25:$B$36))*(ISNUMBER(SEARCH($AB$12,Dienstplan!$DV$25:$EY$36)))))</f>
        <v>0</v>
      </c>
      <c r="M166" s="302">
        <f>SUMPRODUCT((ISNUMBER(SEARCH($Y5,Dienstplan!$B$25:$B$36))*(ISNUMBER(SEARCH($AB$13,Dienstplan!$DV$25:$EY$36)))))</f>
        <v>0</v>
      </c>
      <c r="N166" s="302">
        <f>SUMPRODUCT((ISNUMBER(SEARCH($Y5,Dienstplan!$B$25:$B$36))*(ISNUMBER(SEARCH($AB$14,Dienstplan!$DV$25:$EY$36)))))</f>
        <v>0</v>
      </c>
      <c r="O166" s="302">
        <f>SUMPRODUCT((ISNUMBER(SEARCH($Y5,Dienstplan!$B$25:$B$36))*(ISNUMBER(SEARCH($AB$15,Dienstplan!$DV$25:$EY$36)))))</f>
        <v>0</v>
      </c>
      <c r="P166" s="302">
        <f>SUMPRODUCT((ISNUMBER(SEARCH($Y5,Dienstplan!$B$25:$B$36))*(ISNUMBER(SEARCH($AB$16,Dienstplan!$DV$25:$EY$36)))))</f>
        <v>0</v>
      </c>
      <c r="Q166" s="302">
        <f>SUMPRODUCT((ISNUMBER(SEARCH($Y5,Dienstplan!$B$25:$B$36))*(ISNUMBER(SEARCH($AB$17,Dienstplan!$DV$25:$EY$36)))))</f>
        <v>0</v>
      </c>
      <c r="R166" s="302">
        <f>SUMPRODUCT((ISNUMBER(SEARCH($Y5,Dienstplan!$B$25:$B$36))*(ISNUMBER(SEARCH($AB$18,Dienstplan!$DV$25:$EY$36)))))</f>
        <v>0</v>
      </c>
      <c r="S166" s="308">
        <f>SUMPRODUCT((ISNUMBER(SEARCH($Y5,Dienstplan!$B$25:$B$36))*(ISNUMBER(SEARCH($AB$19,Dienstplan!$DV$25:$EY$36)))))</f>
        <v>0</v>
      </c>
      <c r="T166" s="302">
        <f t="shared" si="67"/>
        <v>147</v>
      </c>
      <c r="U166" s="330">
        <f>SUM($C166*Frueh_1+$D166*Spaet_1+$E166*Nacht_1+$F166*Normal_1+$I166*Sonderd_1-$J166*Rath_M+$K166*Rath_M+$L166*EH_Kurs+$M166*Koor_taet+$N166*Sekre_1+$O166*Rath_M+$R166*Rath_M+$P166*Rath_M+$Q166*Rath_M+G166*Rath_M+H166*Rath_M)</f>
        <v>0</v>
      </c>
      <c r="V166" s="308">
        <f t="shared" si="68"/>
        <v>-147</v>
      </c>
      <c r="W166" s="318">
        <f t="shared" si="69"/>
        <v>-1475.75</v>
      </c>
    </row>
    <row r="167" ht="12.75" customHeight="1">
      <c r="A167" s="308"/>
      <c r="B167" s="329" t="str">
        <f t="shared" si="66"/>
        <v>Wunsch</v>
      </c>
      <c r="C167" s="302">
        <f>SUMPRODUCT((ISNUMBER(SEARCH($Y6,Dienstplan!$B$25:$B$36))*(ISNUMBER(SEARCH($AB$3,Dienstplan!$DV$25:$EY$36)))))-D167</f>
        <v>0</v>
      </c>
      <c r="D167" s="302">
        <f>SUMPRODUCT((ISNUMBER(SEARCH($Y6,Dienstplan!$B$25:$B$36))*(ISNUMBER(SEARCH($AB$4,Dienstplan!$DV$25:$EY$36)))))</f>
        <v>0</v>
      </c>
      <c r="E167" s="302">
        <f>SUMPRODUCT((ISNUMBER(SEARCH($Y6,Dienstplan!$B$25:$B$36))*(ISNUMBER(SEARCH($AB$5,Dienstplan!$DV$25:$EY$36)))))</f>
        <v>0</v>
      </c>
      <c r="F167" s="302">
        <f>SUMPRODUCT((ISNUMBER(SEARCH($Y6,Dienstplan!$B$25:$B$36))*(ISNUMBER(SEARCH($AB$6,Dienstplan!$DV$25:$EY$36)))))</f>
        <v>5</v>
      </c>
      <c r="G167" s="302">
        <f>SUMPRODUCT((ISNUMBER(SEARCH($Y6,Dienstplan!$B$25:$B$36))*(ISNUMBER(SEARCH($AB$7,Dienstplan!$DV$25:$EY$36)))))-H167</f>
        <v>0</v>
      </c>
      <c r="H167" s="302">
        <f>SUMPRODUCT((ISNUMBER(SEARCH($Y6,Dienstplan!$B$25:$B$36))*(ISNUMBER(SEARCH($AB$8,Dienstplan!$DV$25:$EY$36)))))</f>
        <v>0</v>
      </c>
      <c r="I167" s="302">
        <f>SUMPRODUCT((ISNUMBER(SEARCH($Y6,Dienstplan!$B$25:$B$36))*(ISNUMBER(SEARCH($AB$9,Dienstplan!$DV$25:$EY$36)))))</f>
        <v>0</v>
      </c>
      <c r="J167" s="302">
        <f>SUMPRODUCT((ISNUMBER(SEARCH($Y6,Dienstplan!$B$25:$B$36))*(ISNUMBER(SEARCH($AB$10,Dienstplan!$DV$25:$EY$36)))))</f>
        <v>0</v>
      </c>
      <c r="K167" s="302">
        <f>SUMPRODUCT((ISNUMBER(SEARCH($Y6,Dienstplan!$B$25:$B$36))*(ISNUMBER(SEARCH($AB$11,Dienstplan!$DV$25:$EY$36)))))-$Q167</f>
        <v>2</v>
      </c>
      <c r="L167" s="302">
        <f>SUMPRODUCT((ISNUMBER(SEARCH($Y6,Dienstplan!$B$25:$B$36))*(ISNUMBER(SEARCH($AB$12,Dienstplan!$DV$25:$EY$36)))))</f>
        <v>0</v>
      </c>
      <c r="M167" s="302">
        <f>SUMPRODUCT((ISNUMBER(SEARCH($Y6,Dienstplan!$B$25:$B$36))*(ISNUMBER(SEARCH($AB$13,Dienstplan!$DV$25:$EY$36)))))</f>
        <v>0</v>
      </c>
      <c r="N167" s="302">
        <f>SUMPRODUCT((ISNUMBER(SEARCH($Y6,Dienstplan!$B$25:$B$36))*(ISNUMBER(SEARCH($AB$14,Dienstplan!$DV$25:$EY$36)))))</f>
        <v>0</v>
      </c>
      <c r="O167" s="302">
        <f>SUMPRODUCT((ISNUMBER(SEARCH($Y6,Dienstplan!$B$25:$B$36))*(ISNUMBER(SEARCH($AB$15,Dienstplan!$DV$25:$EY$36)))))</f>
        <v>0</v>
      </c>
      <c r="P167" s="302">
        <f>SUMPRODUCT((ISNUMBER(SEARCH($Y6,Dienstplan!$B$25:$B$36))*(ISNUMBER(SEARCH($AB$16,Dienstplan!$DV$25:$EY$36)))))</f>
        <v>0</v>
      </c>
      <c r="Q167" s="302">
        <f>SUMPRODUCT((ISNUMBER(SEARCH($Y6,Dienstplan!$B$25:$B$36))*(ISNUMBER(SEARCH($AB$17,Dienstplan!$DV$25:$EY$36)))))</f>
        <v>0</v>
      </c>
      <c r="R167" s="302">
        <f>SUMPRODUCT((ISNUMBER(SEARCH($Y6,Dienstplan!$B$25:$B$36))*(ISNUMBER(SEARCH($AB$18,Dienstplan!$DV$25:$EY$36)))))</f>
        <v>0</v>
      </c>
      <c r="S167" s="308">
        <f>SUMPRODUCT((ISNUMBER(SEARCH($Y6,Dienstplan!$B$25:$B$36))*(ISNUMBER(SEARCH($AB$19,Dienstplan!$DV$25:$EY$36)))))</f>
        <v>1</v>
      </c>
      <c r="T167" s="302">
        <f t="shared" si="67"/>
        <v>168</v>
      </c>
      <c r="U167" s="330">
        <f>SUM($C167*Frueh_1+$D167*Spaet_1+$E167*Nacht_1+$F167*Normal_1+$I167*Sonderd_1-$J167*Scho_K+$K167*Scho_K+$L167*EH_Kurs+$M167*Koor_taet+$N167*Sekre_1+$O167*Scho_K+$R167*Scho_K+$P167*Scho_K+$Q167*Scho_K+G167*Scho_K+H167*Scho_K)</f>
        <v>53.5</v>
      </c>
      <c r="V167" s="308">
        <f t="shared" si="68"/>
        <v>-114.5</v>
      </c>
      <c r="W167" s="318">
        <f t="shared" si="69"/>
        <v>-887.5</v>
      </c>
    </row>
    <row r="168" ht="12.75" customHeight="1">
      <c r="A168" s="308"/>
      <c r="B168" s="329" t="str">
        <f t="shared" si="66"/>
        <v>Göpfrich</v>
      </c>
      <c r="C168" s="302">
        <f>SUMPRODUCT((ISNUMBER(SEARCH($Y7,Dienstplan!$B$25:$B$36))*(ISNUMBER(SEARCH($AB$3,Dienstplan!$DV$25:$EY$36)))))-D168</f>
        <v>0</v>
      </c>
      <c r="D168" s="302">
        <f>SUMPRODUCT((ISNUMBER(SEARCH($Y7,Dienstplan!$B$25:$B$36))*(ISNUMBER(SEARCH($AB$4,Dienstplan!$DV$25:$EY$36)))))</f>
        <v>0</v>
      </c>
      <c r="E168" s="302">
        <f>SUMPRODUCT((ISNUMBER(SEARCH($Y7,Dienstplan!$B$25:$B$36))*(ISNUMBER(SEARCH($AB$5,Dienstplan!$DV$25:$EY$36)))))</f>
        <v>0</v>
      </c>
      <c r="F168" s="302">
        <f>SUMPRODUCT((ISNUMBER(SEARCH($Y7,Dienstplan!$B$25:$B$36))*(ISNUMBER(SEARCH($AB$6,Dienstplan!$DV$25:$EY$36)))))</f>
        <v>2</v>
      </c>
      <c r="G168" s="302">
        <f>SUMPRODUCT((ISNUMBER(SEARCH($Y7,Dienstplan!$B$25:$B$36))*(ISNUMBER(SEARCH($AB$7,Dienstplan!$DV$25:$EY$36)))))-H168</f>
        <v>0</v>
      </c>
      <c r="H168" s="302">
        <f>SUMPRODUCT((ISNUMBER(SEARCH($Y7,Dienstplan!$B$25:$B$36))*(ISNUMBER(SEARCH($AB$8,Dienstplan!$DV$25:$EY$36)))))</f>
        <v>0</v>
      </c>
      <c r="I168" s="302">
        <f>SUMPRODUCT((ISNUMBER(SEARCH($Y7,Dienstplan!$B$25:$B$36))*(ISNUMBER(SEARCH($AB$9,Dienstplan!$DV$25:$EY$36)))))</f>
        <v>0</v>
      </c>
      <c r="J168" s="302">
        <f>SUMPRODUCT((ISNUMBER(SEARCH($Y7,Dienstplan!$B$25:$B$36))*(ISNUMBER(SEARCH($AB$10,Dienstplan!$DV$25:$EY$36)))))</f>
        <v>0</v>
      </c>
      <c r="K168" s="302">
        <f>SUMPRODUCT((ISNUMBER(SEARCH($Y7,Dienstplan!$B$25:$B$36))*(ISNUMBER(SEARCH($AB$11,Dienstplan!$DV$25:$EY$36)))))-$Q168</f>
        <v>5</v>
      </c>
      <c r="L168" s="302">
        <f>SUMPRODUCT((ISNUMBER(SEARCH($Y7,Dienstplan!$B$25:$B$36))*(ISNUMBER(SEARCH($AB$12,Dienstplan!$DV$25:$EY$36)))))</f>
        <v>0</v>
      </c>
      <c r="M168" s="302">
        <f>SUMPRODUCT((ISNUMBER(SEARCH($Y7,Dienstplan!$B$25:$B$36))*(ISNUMBER(SEARCH($AB$13,Dienstplan!$DV$25:$EY$36)))))</f>
        <v>0</v>
      </c>
      <c r="N168" s="302">
        <f>SUMPRODUCT((ISNUMBER(SEARCH($Y7,Dienstplan!$B$25:$B$36))*(ISNUMBER(SEARCH($AB$14,Dienstplan!$DV$25:$EY$36)))))</f>
        <v>0</v>
      </c>
      <c r="O168" s="302">
        <f>SUMPRODUCT((ISNUMBER(SEARCH($Y7,Dienstplan!$B$25:$B$36))*(ISNUMBER(SEARCH($AB$15,Dienstplan!$DV$25:$EY$36)))))</f>
        <v>0</v>
      </c>
      <c r="P168" s="302">
        <f>SUMPRODUCT((ISNUMBER(SEARCH($Y7,Dienstplan!$B$25:$B$36))*(ISNUMBER(SEARCH($AB$16,Dienstplan!$DV$25:$EY$36)))))</f>
        <v>0</v>
      </c>
      <c r="Q168" s="302">
        <f>SUMPRODUCT((ISNUMBER(SEARCH($Y7,Dienstplan!$B$25:$B$36))*(ISNUMBER(SEARCH($AB$17,Dienstplan!$DV$25:$EY$36)))))</f>
        <v>0</v>
      </c>
      <c r="R168" s="302">
        <f>SUMPRODUCT((ISNUMBER(SEARCH($Y7,Dienstplan!$B$25:$B$36))*(ISNUMBER(SEARCH($AB$18,Dienstplan!$DV$25:$EY$36)))))</f>
        <v>0</v>
      </c>
      <c r="S168" s="308">
        <f>SUMPRODUCT((ISNUMBER(SEARCH($Y7,Dienstplan!$B$25:$B$36))*(ISNUMBER(SEARCH($AB$19,Dienstplan!$DV$25:$EY$36)))))</f>
        <v>0</v>
      </c>
      <c r="T168" s="302">
        <f t="shared" si="67"/>
        <v>147</v>
      </c>
      <c r="U168" s="330">
        <f>SUM($C168*Frueh_1+$D168*Spaet_1+$E168*Nacht_1+$F168*Normal_1+$I168*Sonderd_1-$J168*Krie_B+$K168*Krie_B+$L168*EH_Kurs+$M168*Koor_taet+$N168*Sekre_1+$O168*Krie_B+$R168*Krie_B+$P168*Krie_B+$Q168*Krie_B+G168*Krie_B+H168*Krie_B)</f>
        <v>50</v>
      </c>
      <c r="V168" s="308">
        <f t="shared" si="68"/>
        <v>-97</v>
      </c>
      <c r="W168" s="318">
        <f t="shared" si="69"/>
        <v>-706.25</v>
      </c>
    </row>
    <row r="169" ht="12.75" customHeight="1">
      <c r="A169" s="308"/>
      <c r="B169" s="329" t="str">
        <f t="shared" si="66"/>
        <v>Zeller</v>
      </c>
      <c r="C169" s="302">
        <f>SUMPRODUCT((ISNUMBER(SEARCH($Y8,Dienstplan!$B$25:$B$36))*(ISNUMBER(SEARCH($AB$3,Dienstplan!$DV$25:$EY$36)))))-D169</f>
        <v>0</v>
      </c>
      <c r="D169" s="302">
        <f>SUMPRODUCT((ISNUMBER(SEARCH($Y8,Dienstplan!$B$25:$B$36))*(ISNUMBER(SEARCH($AB$4,Dienstplan!$DV$25:$EY$36)))))</f>
        <v>0</v>
      </c>
      <c r="E169" s="302">
        <f>SUMPRODUCT((ISNUMBER(SEARCH($Y8,Dienstplan!$B$25:$B$36))*(ISNUMBER(SEARCH($AB$5,Dienstplan!$DV$25:$EY$36)))))</f>
        <v>0</v>
      </c>
      <c r="F169" s="302">
        <f>SUMPRODUCT((ISNUMBER(SEARCH($Y8,Dienstplan!$B$25:$B$36))*(ISNUMBER(SEARCH($AB$6,Dienstplan!$DV$25:$EY$36)))))</f>
        <v>0</v>
      </c>
      <c r="G169" s="302">
        <f>SUMPRODUCT((ISNUMBER(SEARCH($Y8,Dienstplan!$B$25:$B$36))*(ISNUMBER(SEARCH($AB$7,Dienstplan!$DV$25:$EY$36)))))-H169</f>
        <v>0</v>
      </c>
      <c r="H169" s="302">
        <f>SUMPRODUCT((ISNUMBER(SEARCH($Y8,Dienstplan!$B$25:$B$36))*(ISNUMBER(SEARCH($AB$8,Dienstplan!$DV$25:$EY$36)))))</f>
        <v>0</v>
      </c>
      <c r="I169" s="302">
        <f>SUMPRODUCT((ISNUMBER(SEARCH($Y8,Dienstplan!$B$25:$B$36))*(ISNUMBER(SEARCH($AB$9,Dienstplan!$DV$25:$EY$36)))))</f>
        <v>0</v>
      </c>
      <c r="J169" s="302">
        <f>SUMPRODUCT((ISNUMBER(SEARCH($Y8,Dienstplan!$B$25:$B$36))*(ISNUMBER(SEARCH($AB$10,Dienstplan!$DV$25:$EY$36)))))</f>
        <v>0</v>
      </c>
      <c r="K169" s="302">
        <f>SUMPRODUCT((ISNUMBER(SEARCH($Y8,Dienstplan!$B$25:$B$36))*(ISNUMBER(SEARCH($AB$11,Dienstplan!$DV$25:$EY$36)))))-$Q169</f>
        <v>0</v>
      </c>
      <c r="L169" s="302">
        <f>SUMPRODUCT((ISNUMBER(SEARCH($Y8,Dienstplan!$B$25:$B$36))*(ISNUMBER(SEARCH($AB$12,Dienstplan!$DV$25:$EY$36)))))</f>
        <v>0</v>
      </c>
      <c r="M169" s="302">
        <f>SUMPRODUCT((ISNUMBER(SEARCH($Y8,Dienstplan!$B$25:$B$36))*(ISNUMBER(SEARCH($AB$13,Dienstplan!$DV$25:$EY$36)))))</f>
        <v>0</v>
      </c>
      <c r="N169" s="302">
        <f>SUMPRODUCT((ISNUMBER(SEARCH($Y8,Dienstplan!$B$25:$B$36))*(ISNUMBER(SEARCH($AB$14,Dienstplan!$DV$25:$EY$36)))))</f>
        <v>0</v>
      </c>
      <c r="O169" s="302">
        <f>SUMPRODUCT((ISNUMBER(SEARCH($Y8,Dienstplan!$B$25:$B$36))*(ISNUMBER(SEARCH($AB$15,Dienstplan!$DV$25:$EY$36)))))</f>
        <v>0</v>
      </c>
      <c r="P169" s="302">
        <f>SUMPRODUCT((ISNUMBER(SEARCH($Y8,Dienstplan!$B$25:$B$36))*(ISNUMBER(SEARCH($AB$16,Dienstplan!$DV$25:$EY$36)))))</f>
        <v>0</v>
      </c>
      <c r="Q169" s="302">
        <f>SUMPRODUCT((ISNUMBER(SEARCH($Y8,Dienstplan!$B$25:$B$36))*(ISNUMBER(SEARCH($AB$17,Dienstplan!$DV$25:$EY$36)))))</f>
        <v>0</v>
      </c>
      <c r="R169" s="302">
        <f>SUMPRODUCT((ISNUMBER(SEARCH($Y8,Dienstplan!$B$25:$B$36))*(ISNUMBER(SEARCH($AB$18,Dienstplan!$DV$25:$EY$36)))))</f>
        <v>0</v>
      </c>
      <c r="S169" s="308">
        <f>SUMPRODUCT((ISNUMBER(SEARCH($Y8,Dienstplan!$B$25:$B$36))*(ISNUMBER(SEARCH($AB$19,Dienstplan!$DV$25:$EY$36)))))</f>
        <v>0</v>
      </c>
      <c r="T169" s="302">
        <f t="shared" si="67"/>
        <v>168</v>
      </c>
      <c r="U169" s="330">
        <f>SUM($C169*Frueh_1+$D169*Spaet_1+$E169*Nacht_1+$F169*Normal_1+$I169*Sonderd_1-$J169*Muster+$K169*Muster+$L169*EH_Kurs+$M169*Koor_taet+$N169*Sekre_1+$O169*Muster+$P169*Muster+$Q169*Muster+$R169*Muster+G169*Muster+H169*Muster)</f>
        <v>0</v>
      </c>
      <c r="V169" s="308">
        <f t="shared" si="68"/>
        <v>-168</v>
      </c>
      <c r="W169" s="318">
        <f t="shared" si="69"/>
        <v>-989.25</v>
      </c>
    </row>
    <row r="170" ht="12.75" customHeight="1">
      <c r="A170" s="308"/>
      <c r="B170" s="329" t="str">
        <f t="shared" si="66"/>
        <v>Behrendt</v>
      </c>
      <c r="C170" s="302">
        <f>SUMPRODUCT((ISNUMBER(SEARCH($Y9,Dienstplan!$B$25:$B$36))*(ISNUMBER(SEARCH($AB$3,Dienstplan!$DV$25:$EY$36)))))-D170</f>
        <v>0</v>
      </c>
      <c r="D170" s="302">
        <f>SUMPRODUCT((ISNUMBER(SEARCH($Y9,Dienstplan!$B$25:$B$36))*(ISNUMBER(SEARCH($AB$4,Dienstplan!$DV$25:$EY$36)))))</f>
        <v>0</v>
      </c>
      <c r="E170" s="302">
        <f>SUMPRODUCT((ISNUMBER(SEARCH($Y9,Dienstplan!$B$25:$B$36))*(ISNUMBER(SEARCH($AB$5,Dienstplan!$DV$25:$EY$36)))))</f>
        <v>0</v>
      </c>
      <c r="F170" s="302">
        <f>SUMPRODUCT((ISNUMBER(SEARCH($Y9,Dienstplan!$B$25:$B$36))*(ISNUMBER(SEARCH($AB$6,Dienstplan!$DV$25:$EY$36)))))</f>
        <v>5</v>
      </c>
      <c r="G170" s="302">
        <f>SUMPRODUCT((ISNUMBER(SEARCH($Y9,Dienstplan!$B$25:$B$36))*(ISNUMBER(SEARCH($AB$7,Dienstplan!$DV$25:$EY$36)))))-H170</f>
        <v>0</v>
      </c>
      <c r="H170" s="302">
        <f>SUMPRODUCT((ISNUMBER(SEARCH($Y9,Dienstplan!$B$25:$B$36))*(ISNUMBER(SEARCH($AB$8,Dienstplan!$DV$25:$EY$36)))))</f>
        <v>0</v>
      </c>
      <c r="I170" s="302">
        <f>SUMPRODUCT((ISNUMBER(SEARCH($Y9,Dienstplan!$B$25:$B$36))*(ISNUMBER(SEARCH($AB$9,Dienstplan!$DV$25:$EY$36)))))</f>
        <v>0</v>
      </c>
      <c r="J170" s="302">
        <f>SUMPRODUCT((ISNUMBER(SEARCH($Y9,Dienstplan!$B$25:$B$36))*(ISNUMBER(SEARCH($AB$10,Dienstplan!$DV$25:$EY$36)))))</f>
        <v>0</v>
      </c>
      <c r="K170" s="302">
        <f>SUMPRODUCT((ISNUMBER(SEARCH($Y9,Dienstplan!$B$25:$B$36))*(ISNUMBER(SEARCH($AB$11,Dienstplan!$DV$25:$EY$36)))))-$Q170</f>
        <v>0</v>
      </c>
      <c r="L170" s="302">
        <f>SUMPRODUCT((ISNUMBER(SEARCH($Y9,Dienstplan!$B$25:$B$36))*(ISNUMBER(SEARCH($AB$12,Dienstplan!$DV$25:$EY$36)))))</f>
        <v>0</v>
      </c>
      <c r="M170" s="302">
        <f>SUMPRODUCT((ISNUMBER(SEARCH($Y9,Dienstplan!$B$25:$B$36))*(ISNUMBER(SEARCH($AB$13,Dienstplan!$DV$25:$EY$36)))))</f>
        <v>0</v>
      </c>
      <c r="N170" s="302">
        <f>SUMPRODUCT((ISNUMBER(SEARCH($Y9,Dienstplan!$B$25:$B$36))*(ISNUMBER(SEARCH($AB$14,Dienstplan!$DV$25:$EY$36)))))</f>
        <v>0</v>
      </c>
      <c r="O170" s="302">
        <f>SUMPRODUCT((ISNUMBER(SEARCH($Y9,Dienstplan!$B$25:$B$36))*(ISNUMBER(SEARCH($AB$15,Dienstplan!$DV$25:$EY$36)))))</f>
        <v>0</v>
      </c>
      <c r="P170" s="302">
        <f>SUMPRODUCT((ISNUMBER(SEARCH($Y9,Dienstplan!$B$25:$B$36))*(ISNUMBER(SEARCH($AB$16,Dienstplan!$DV$25:$EY$36)))))</f>
        <v>0</v>
      </c>
      <c r="Q170" s="302">
        <f>SUMPRODUCT((ISNUMBER(SEARCH($Y9,Dienstplan!$B$25:$B$36))*(ISNUMBER(SEARCH($AB$17,Dienstplan!$DV$25:$EY$36)))))</f>
        <v>0</v>
      </c>
      <c r="R170" s="302">
        <f>SUMPRODUCT((ISNUMBER(SEARCH($Y9,Dienstplan!$B$25:$B$36))*(ISNUMBER(SEARCH($AB$18,Dienstplan!$DV$25:$EY$36)))))</f>
        <v>0</v>
      </c>
      <c r="S170" s="308">
        <f>SUMPRODUCT((ISNUMBER(SEARCH($Y9,Dienstplan!$B$25:$B$36))*(ISNUMBER(SEARCH($AB$19,Dienstplan!$DV$25:$EY$36)))))</f>
        <v>1</v>
      </c>
      <c r="T170" s="302">
        <f t="shared" si="67"/>
        <v>147</v>
      </c>
      <c r="U170" s="330">
        <f>SUM($C170*Frueh_1+$D170*Spaet_1+$E170*Nacht_1+$F170*Normal_1+$I170*Sonderd_1-$J170*Muster+$K170*Muster+$L170*EH_Kurs+$M170*Koor_taet+$N170*Sekre_1+$O170*Muster+$P170*Muster+$Q170*Muster+$R170*Muster+G170*Muster+H170*Muster)</f>
        <v>37.5</v>
      </c>
      <c r="V170" s="308">
        <f t="shared" si="68"/>
        <v>-109.5</v>
      </c>
      <c r="W170" s="318">
        <f t="shared" si="69"/>
        <v>-841.45</v>
      </c>
    </row>
    <row r="171" ht="12.75" customHeight="1">
      <c r="A171" s="308"/>
      <c r="B171" s="329" t="str">
        <f t="shared" si="66"/>
        <v>Krempl</v>
      </c>
      <c r="C171" s="302">
        <f>SUMPRODUCT((ISNUMBER(SEARCH($Y10,Dienstplan!$B$25:$B$36))*(ISNUMBER(SEARCH($AB$3,Dienstplan!$DV$25:$EY$36)))))-D171</f>
        <v>0</v>
      </c>
      <c r="D171" s="302">
        <f>SUMPRODUCT((ISNUMBER(SEARCH($Y10,Dienstplan!$B$25:$B$36))*(ISNUMBER(SEARCH($AB$4,Dienstplan!$DV$25:$EY$36)))))</f>
        <v>0</v>
      </c>
      <c r="E171" s="302">
        <f>SUMPRODUCT((ISNUMBER(SEARCH($Y10,Dienstplan!$B$25:$B$36))*(ISNUMBER(SEARCH($AB$5,Dienstplan!$DV$25:$EY$36)))))</f>
        <v>0</v>
      </c>
      <c r="F171" s="302">
        <f>SUMPRODUCT((ISNUMBER(SEARCH($Y10,Dienstplan!$B$25:$B$36))*(ISNUMBER(SEARCH($AB$6,Dienstplan!$DV$25:$EY$36)))))</f>
        <v>0</v>
      </c>
      <c r="G171" s="302">
        <f>SUMPRODUCT((ISNUMBER(SEARCH($Y10,Dienstplan!$B$25:$B$36))*(ISNUMBER(SEARCH($AB$7,Dienstplan!$DV$25:$EY$36)))))-H171</f>
        <v>0</v>
      </c>
      <c r="H171" s="302">
        <f>SUMPRODUCT((ISNUMBER(SEARCH($Y10,Dienstplan!$B$25:$B$36))*(ISNUMBER(SEARCH($AB$8,Dienstplan!$DV$25:$EY$36)))))</f>
        <v>0</v>
      </c>
      <c r="I171" s="302">
        <f>SUMPRODUCT((ISNUMBER(SEARCH($Y10,Dienstplan!$B$25:$B$36))*(ISNUMBER(SEARCH($AB$9,Dienstplan!$DV$25:$EY$36)))))</f>
        <v>0</v>
      </c>
      <c r="J171" s="302">
        <f>SUMPRODUCT((ISNUMBER(SEARCH($Y10,Dienstplan!$B$25:$B$36))*(ISNUMBER(SEARCH($AB$10,Dienstplan!$DV$25:$EY$36)))))</f>
        <v>0</v>
      </c>
      <c r="K171" s="302">
        <f>SUMPRODUCT((ISNUMBER(SEARCH($Y10,Dienstplan!$B$25:$B$36))*(ISNUMBER(SEARCH($AB$11,Dienstplan!$DV$25:$EY$36)))))-$Q171</f>
        <v>0</v>
      </c>
      <c r="L171" s="302">
        <f>SUMPRODUCT((ISNUMBER(SEARCH($Y10,Dienstplan!$B$25:$B$36))*(ISNUMBER(SEARCH($AB$12,Dienstplan!$DV$25:$EY$36)))))</f>
        <v>0</v>
      </c>
      <c r="M171" s="302">
        <f>SUMPRODUCT((ISNUMBER(SEARCH($Y10,Dienstplan!$B$25:$B$36))*(ISNUMBER(SEARCH($AB$13,Dienstplan!$DV$25:$EY$36)))))</f>
        <v>0</v>
      </c>
      <c r="N171" s="302">
        <f>SUMPRODUCT((ISNUMBER(SEARCH($Y10,Dienstplan!$B$25:$B$36))*(ISNUMBER(SEARCH($AB$14,Dienstplan!$DV$25:$EY$36)))))</f>
        <v>0</v>
      </c>
      <c r="O171" s="302">
        <f>SUMPRODUCT((ISNUMBER(SEARCH($Y10,Dienstplan!$B$25:$B$36))*(ISNUMBER(SEARCH($AB$15,Dienstplan!$DV$25:$EY$36)))))</f>
        <v>0</v>
      </c>
      <c r="P171" s="302">
        <f>SUMPRODUCT((ISNUMBER(SEARCH($Y10,Dienstplan!$B$25:$B$36))*(ISNUMBER(SEARCH($AB$16,Dienstplan!$DV$25:$EY$36)))))</f>
        <v>0</v>
      </c>
      <c r="Q171" s="302">
        <f>SUMPRODUCT((ISNUMBER(SEARCH($Y10,Dienstplan!$B$25:$B$36))*(ISNUMBER(SEARCH($AB$17,Dienstplan!$DV$25:$EY$36)))))</f>
        <v>0</v>
      </c>
      <c r="R171" s="302">
        <f>SUMPRODUCT((ISNUMBER(SEARCH($Y10,Dienstplan!$B$25:$B$36))*(ISNUMBER(SEARCH($AB$18,Dienstplan!$DV$25:$EY$36)))))</f>
        <v>0</v>
      </c>
      <c r="S171" s="308">
        <f>SUMPRODUCT((ISNUMBER(SEARCH($Y10,Dienstplan!$B$25:$B$36))*(ISNUMBER(SEARCH($AB$19,Dienstplan!$DV$25:$EY$36)))))</f>
        <v>0</v>
      </c>
      <c r="T171" s="302">
        <f t="shared" si="67"/>
        <v>67.2</v>
      </c>
      <c r="U171" s="330">
        <f>SUM($C171*Frueh_1+$D171*Spaet_1+$E171*Nacht_1+$F171*Normal_1+$I171*Sonderd_1-$J171*Krem_E+$K171*Krem_E+$L171*EH_Kurs+$M171*Koor_taet+$N171*Sekre_1+$O171*Krem_E+$R171*Krem_E+$P171*Krem_E+$Q171*Krem_E+G171*Krem_E+H171*Krem_E)</f>
        <v>0</v>
      </c>
      <c r="V171" s="308">
        <f t="shared" si="68"/>
        <v>-67.2</v>
      </c>
      <c r="W171" s="318">
        <f t="shared" si="69"/>
        <v>-585.5</v>
      </c>
    </row>
    <row r="172" ht="12.75" customHeight="1">
      <c r="A172" s="308"/>
      <c r="B172" s="329" t="str">
        <f t="shared" si="66"/>
        <v>Putschler</v>
      </c>
      <c r="C172" s="302">
        <f>SUMPRODUCT((ISNUMBER(SEARCH($Y11,Dienstplan!$B$25:$B$36))*(ISNUMBER(SEARCH($AB$3,Dienstplan!$DV$25:$EY$36)))))-D172</f>
        <v>0</v>
      </c>
      <c r="D172" s="302">
        <f>SUMPRODUCT((ISNUMBER(SEARCH($Y11,Dienstplan!$B$25:$B$36))*(ISNUMBER(SEARCH($AB$4,Dienstplan!$DV$25:$EY$36)))))</f>
        <v>0</v>
      </c>
      <c r="E172" s="302">
        <f>SUMPRODUCT((ISNUMBER(SEARCH($Y11,Dienstplan!$B$25:$B$36))*(ISNUMBER(SEARCH($AB$5,Dienstplan!$DV$25:$EY$36)))))</f>
        <v>0</v>
      </c>
      <c r="F172" s="302">
        <f>SUMPRODUCT((ISNUMBER(SEARCH($Y11,Dienstplan!$B$25:$B$36))*(ISNUMBER(SEARCH($AB$6,Dienstplan!$DV$25:$EY$36)))))</f>
        <v>0</v>
      </c>
      <c r="G172" s="302">
        <f>SUMPRODUCT((ISNUMBER(SEARCH($Y11,Dienstplan!$B$25:$B$36))*(ISNUMBER(SEARCH($AB$7,Dienstplan!$DV$25:$EY$36)))))-H172</f>
        <v>0</v>
      </c>
      <c r="H172" s="302">
        <f>SUMPRODUCT((ISNUMBER(SEARCH($Y11,Dienstplan!$B$25:$B$36))*(ISNUMBER(SEARCH($AB$8,Dienstplan!$DV$25:$EY$36)))))</f>
        <v>0</v>
      </c>
      <c r="I172" s="302">
        <f>SUMPRODUCT((ISNUMBER(SEARCH($Y11,Dienstplan!$B$25:$B$36))*(ISNUMBER(SEARCH($AB$9,Dienstplan!$DV$25:$EY$36)))))</f>
        <v>0</v>
      </c>
      <c r="J172" s="302">
        <f>SUMPRODUCT((ISNUMBER(SEARCH($Y11,Dienstplan!$B$25:$B$36))*(ISNUMBER(SEARCH($AB$10,Dienstplan!$DV$25:$EY$36)))))</f>
        <v>0</v>
      </c>
      <c r="K172" s="302">
        <f>SUMPRODUCT((ISNUMBER(SEARCH($Y11,Dienstplan!$B$25:$B$36))*(ISNUMBER(SEARCH($AB$11,Dienstplan!$DV$25:$EY$36)))))-$Q172</f>
        <v>0</v>
      </c>
      <c r="L172" s="302">
        <f>SUMPRODUCT((ISNUMBER(SEARCH($Y11,Dienstplan!$B$25:$B$36))*(ISNUMBER(SEARCH($AB$12,Dienstplan!$DV$25:$EY$36)))))</f>
        <v>0</v>
      </c>
      <c r="M172" s="302">
        <f>SUMPRODUCT((ISNUMBER(SEARCH($Y11,Dienstplan!$B$25:$B$36))*(ISNUMBER(SEARCH($AB$13,Dienstplan!$DV$25:$EY$36)))))</f>
        <v>0</v>
      </c>
      <c r="N172" s="302">
        <f>SUMPRODUCT((ISNUMBER(SEARCH($Y11,Dienstplan!$B$25:$B$36))*(ISNUMBER(SEARCH($AB$14,Dienstplan!$DV$25:$EY$36)))))</f>
        <v>0</v>
      </c>
      <c r="O172" s="302">
        <f>SUMPRODUCT((ISNUMBER(SEARCH($Y11,Dienstplan!$B$25:$B$36))*(ISNUMBER(SEARCH($AB$15,Dienstplan!$DV$25:$EY$36)))))</f>
        <v>0</v>
      </c>
      <c r="P172" s="302">
        <f>SUMPRODUCT((ISNUMBER(SEARCH($Y11,Dienstplan!$B$25:$B$36))*(ISNUMBER(SEARCH($AB$16,Dienstplan!$DV$25:$EY$36)))))</f>
        <v>0</v>
      </c>
      <c r="Q172" s="302">
        <f>SUMPRODUCT((ISNUMBER(SEARCH($Y11,Dienstplan!$B$25:$B$36))*(ISNUMBER(SEARCH($AB$17,Dienstplan!$DV$25:$EY$36)))))</f>
        <v>0</v>
      </c>
      <c r="R172" s="302">
        <f>SUMPRODUCT((ISNUMBER(SEARCH($Y11,Dienstplan!$B$25:$B$36))*(ISNUMBER(SEARCH($AB$18,Dienstplan!$DV$25:$EY$36)))))</f>
        <v>0</v>
      </c>
      <c r="S172" s="308">
        <f>SUMPRODUCT((ISNUMBER(SEARCH($Y11,Dienstplan!$B$25:$B$36))*(ISNUMBER(SEARCH($AB$19,Dienstplan!$DV$25:$EY$36)))))</f>
        <v>0</v>
      </c>
      <c r="T172" s="302">
        <f t="shared" si="67"/>
        <v>168</v>
      </c>
      <c r="U172" s="330">
        <f>SUM($C172*Frueh_1+$D172*Spaet_1+$E172*Nacht_1+$F172*Normal_1+$I172*Sonderd_1-$J172*Put_W+$K172*Put_W+$L172*EH_Kurs+$M172*Koor_taet+$N172*Sekre_1+$O172*Put_W+$R172*Put_W+$P172*Put_W+$Q172*Put_W+G172*Put_W+H172*Put_W)</f>
        <v>0</v>
      </c>
      <c r="V172" s="308">
        <f t="shared" si="68"/>
        <v>-168</v>
      </c>
      <c r="W172" s="318">
        <f t="shared" si="69"/>
        <v>-1264</v>
      </c>
    </row>
    <row r="173" ht="12.75" customHeight="1">
      <c r="A173" s="308"/>
      <c r="B173" s="329" t="str">
        <f t="shared" si="66"/>
        <v>Schmidt</v>
      </c>
      <c r="C173" s="302">
        <f>SUMPRODUCT((ISNUMBER(SEARCH($Y12,Dienstplan!$B$25:$B$36))*(ISNUMBER(SEARCH($AB$3,Dienstplan!$DV$25:$EY$36)))))-D173</f>
        <v>0</v>
      </c>
      <c r="D173" s="302">
        <f>SUMPRODUCT((ISNUMBER(SEARCH($Y12,Dienstplan!$B$25:$B$36))*(ISNUMBER(SEARCH($AB$4,Dienstplan!$DV$25:$EY$36)))))</f>
        <v>0</v>
      </c>
      <c r="E173" s="302">
        <f>SUMPRODUCT((ISNUMBER(SEARCH($Y12,Dienstplan!$B$25:$B$36))*(ISNUMBER(SEARCH($AB$5,Dienstplan!$DV$25:$EY$36)))))</f>
        <v>0</v>
      </c>
      <c r="F173" s="302">
        <f>SUMPRODUCT((ISNUMBER(SEARCH($Y12,Dienstplan!$B$25:$B$36))*(ISNUMBER(SEARCH($AB$6,Dienstplan!$DV$25:$EY$36)))))</f>
        <v>0</v>
      </c>
      <c r="G173" s="302">
        <f>SUMPRODUCT((ISNUMBER(SEARCH($Y12,Dienstplan!$B$25:$B$36))*(ISNUMBER(SEARCH($AB$7,Dienstplan!$DV$25:$EY$36)))))-H173</f>
        <v>0</v>
      </c>
      <c r="H173" s="302">
        <f>SUMPRODUCT((ISNUMBER(SEARCH($Y12,Dienstplan!$B$25:$B$36))*(ISNUMBER(SEARCH($AB$8,Dienstplan!$DV$25:$EY$36)))))</f>
        <v>0</v>
      </c>
      <c r="I173" s="302">
        <f>SUMPRODUCT((ISNUMBER(SEARCH($Y12,Dienstplan!$B$25:$B$36))*(ISNUMBER(SEARCH($AB$9,Dienstplan!$DV$25:$EY$36)))))</f>
        <v>0</v>
      </c>
      <c r="J173" s="302">
        <f>SUMPRODUCT((ISNUMBER(SEARCH($Y12,Dienstplan!$B$25:$B$36))*(ISNUMBER(SEARCH($AB$10,Dienstplan!$DV$25:$EY$36)))))</f>
        <v>0</v>
      </c>
      <c r="K173" s="302">
        <f>SUMPRODUCT((ISNUMBER(SEARCH($Y12,Dienstplan!$B$25:$B$36))*(ISNUMBER(SEARCH($AB$11,Dienstplan!$DV$25:$EY$36)))))-$Q173</f>
        <v>2</v>
      </c>
      <c r="L173" s="302">
        <f>SUMPRODUCT((ISNUMBER(SEARCH($Y12,Dienstplan!$B$25:$B$36))*(ISNUMBER(SEARCH($AB$12,Dienstplan!$DV$25:$EY$36)))))</f>
        <v>0</v>
      </c>
      <c r="M173" s="302">
        <f>SUMPRODUCT((ISNUMBER(SEARCH($Y12,Dienstplan!$B$25:$B$36))*(ISNUMBER(SEARCH($AB$13,Dienstplan!$DV$25:$EY$36)))))</f>
        <v>0</v>
      </c>
      <c r="N173" s="302">
        <f>SUMPRODUCT((ISNUMBER(SEARCH($Y12,Dienstplan!$B$25:$B$36))*(ISNUMBER(SEARCH($AB$14,Dienstplan!$DV$25:$EY$36)))))</f>
        <v>0</v>
      </c>
      <c r="O173" s="302">
        <f>SUMPRODUCT((ISNUMBER(SEARCH($Y12,Dienstplan!$B$25:$B$36))*(ISNUMBER(SEARCH($AB$15,Dienstplan!$DV$25:$EY$36)))))</f>
        <v>0</v>
      </c>
      <c r="P173" s="302">
        <f>SUMPRODUCT((ISNUMBER(SEARCH($Y12,Dienstplan!$B$25:$B$36))*(ISNUMBER(SEARCH($AB$16,Dienstplan!$DV$25:$EY$36)))))</f>
        <v>0</v>
      </c>
      <c r="Q173" s="302">
        <f>SUMPRODUCT((ISNUMBER(SEARCH($Y12,Dienstplan!$B$25:$B$36))*(ISNUMBER(SEARCH($AB$17,Dienstplan!$DV$25:$EY$36)))))</f>
        <v>0</v>
      </c>
      <c r="R173" s="302">
        <f>SUMPRODUCT((ISNUMBER(SEARCH($Y12,Dienstplan!$B$25:$B$36))*(ISNUMBER(SEARCH($AB$18,Dienstplan!$DV$25:$EY$36)))))</f>
        <v>0</v>
      </c>
      <c r="S173" s="308">
        <f>SUMPRODUCT((ISNUMBER(SEARCH($Y12,Dienstplan!$B$25:$B$36))*(ISNUMBER(SEARCH($AB$19,Dienstplan!$DV$25:$EY$36)))))</f>
        <v>0</v>
      </c>
      <c r="T173" s="302">
        <f t="shared" si="67"/>
        <v>147</v>
      </c>
      <c r="U173" s="330">
        <f>SUM($C173*Frueh_1+$D173*Spaet_1+$E173*Nacht_1+$F173*Normal_1+$I173*Sonderd_1-$J173*Radi_L+$K173*Radi_L+$L173*EH_Kurs+$M173*Koor_taet+$N173*Sekre_1+$O173*Radi_L+$R173*Radi_L+$P173*Radi_L+$Q173*Radi_L+G173*Radi_L+H173*Radi_L)</f>
        <v>14</v>
      </c>
      <c r="V173" s="308">
        <f t="shared" si="68"/>
        <v>-133</v>
      </c>
      <c r="W173" s="318">
        <f t="shared" si="69"/>
        <v>-1344</v>
      </c>
    </row>
    <row r="174" ht="12.75" customHeight="1">
      <c r="A174" s="308"/>
      <c r="B174" s="329" t="str">
        <f t="shared" si="66"/>
        <v>Radimersky</v>
      </c>
      <c r="C174" s="302">
        <f>SUMPRODUCT((ISNUMBER(SEARCH($Y13,Dienstplan!$B$25:$B$36))*(ISNUMBER(SEARCH($AB$3,Dienstplan!$DV$25:$EY$36)))))-D174</f>
        <v>0</v>
      </c>
      <c r="D174" s="302">
        <f>SUMPRODUCT((ISNUMBER(SEARCH($Y13,Dienstplan!$B$25:$B$36))*(ISNUMBER(SEARCH($AB$4,Dienstplan!$DV$25:$EY$36)))))</f>
        <v>0</v>
      </c>
      <c r="E174" s="302">
        <f>SUMPRODUCT((ISNUMBER(SEARCH($Y13,Dienstplan!$B$25:$B$36))*(ISNUMBER(SEARCH($AB$5,Dienstplan!$DV$25:$EY$36)))))</f>
        <v>0</v>
      </c>
      <c r="F174" s="302">
        <f>SUMPRODUCT((ISNUMBER(SEARCH($Y13,Dienstplan!$B$25:$B$36))*(ISNUMBER(SEARCH($AB$6,Dienstplan!$DV$25:$EY$36)))))</f>
        <v>0</v>
      </c>
      <c r="G174" s="302">
        <f>SUMPRODUCT((ISNUMBER(SEARCH($Y13,Dienstplan!$B$25:$B$36))*(ISNUMBER(SEARCH($AB$7,Dienstplan!$DV$25:$EY$36)))))-H174</f>
        <v>0</v>
      </c>
      <c r="H174" s="302">
        <f>SUMPRODUCT((ISNUMBER(SEARCH($Y13,Dienstplan!$B$25:$B$36))*(ISNUMBER(SEARCH($AB$8,Dienstplan!$DV$25:$EY$36)))))</f>
        <v>0</v>
      </c>
      <c r="I174" s="302">
        <f>SUMPRODUCT((ISNUMBER(SEARCH($Y13,Dienstplan!$B$25:$B$36))*(ISNUMBER(SEARCH($AB$9,Dienstplan!$DV$25:$EY$36)))))</f>
        <v>0</v>
      </c>
      <c r="J174" s="302">
        <f>SUMPRODUCT((ISNUMBER(SEARCH($Y13,Dienstplan!$B$25:$B$36))*(ISNUMBER(SEARCH($AB$10,Dienstplan!$DV$25:$EY$36)))))</f>
        <v>0</v>
      </c>
      <c r="K174" s="302">
        <f>SUMPRODUCT((ISNUMBER(SEARCH($Y13,Dienstplan!$B$25:$B$36))*(ISNUMBER(SEARCH($AB$11,Dienstplan!$DV$25:$EY$36)))))-$Q174</f>
        <v>0</v>
      </c>
      <c r="L174" s="302">
        <f>SUMPRODUCT((ISNUMBER(SEARCH($Y13,Dienstplan!$B$25:$B$36))*(ISNUMBER(SEARCH($AB$12,Dienstplan!$DV$25:$EY$36)))))</f>
        <v>0</v>
      </c>
      <c r="M174" s="302">
        <f>SUMPRODUCT((ISNUMBER(SEARCH($Y13,Dienstplan!$B$25:$B$36))*(ISNUMBER(SEARCH($AB$13,Dienstplan!$DV$25:$EY$36)))))</f>
        <v>0</v>
      </c>
      <c r="N174" s="302">
        <f>SUMPRODUCT((ISNUMBER(SEARCH($Y13,Dienstplan!$B$25:$B$36))*(ISNUMBER(SEARCH($AB$14,Dienstplan!$DV$25:$EY$36)))))</f>
        <v>0</v>
      </c>
      <c r="O174" s="302">
        <f>SUMPRODUCT((ISNUMBER(SEARCH($Y13,Dienstplan!$B$25:$B$36))*(ISNUMBER(SEARCH($AB$15,Dienstplan!$DV$25:$EY$36)))))</f>
        <v>0</v>
      </c>
      <c r="P174" s="302">
        <f>SUMPRODUCT((ISNUMBER(SEARCH($Y13,Dienstplan!$B$25:$B$36))*(ISNUMBER(SEARCH($AB$16,Dienstplan!$DV$25:$EY$36)))))</f>
        <v>0</v>
      </c>
      <c r="Q174" s="302">
        <f>SUMPRODUCT((ISNUMBER(SEARCH($Y13,Dienstplan!$B$25:$B$36))*(ISNUMBER(SEARCH($AB$17,Dienstplan!$DV$25:$EY$36)))))</f>
        <v>0</v>
      </c>
      <c r="R174" s="302">
        <f>SUMPRODUCT((ISNUMBER(SEARCH($Y13,Dienstplan!$B$25:$B$36))*(ISNUMBER(SEARCH($AB$18,Dienstplan!$DV$25:$EY$36)))))</f>
        <v>0</v>
      </c>
      <c r="S174" s="308">
        <f>SUMPRODUCT((ISNUMBER(SEARCH($Y13,Dienstplan!$B$25:$B$36))*(ISNUMBER(SEARCH($AB$19,Dienstplan!$DV$25:$EY$36)))))</f>
        <v>0</v>
      </c>
      <c r="T174" s="302">
        <f t="shared" si="67"/>
        <v>63</v>
      </c>
      <c r="U174" s="330">
        <f>SUM($C174*Frueh_1+$D174*Spaet_1+$E174*Nacht_1+$F174*Normal_1+$I174*Sonderd_1-$J174*Fortenb+$K174*Fortenb+$L174*EH_Kurs+$M174*Koor_taet+$N174*Sekre_1+$O174*Fortenb+$R174*Fortenb+$P174*Fortenb+$Q174*Fortenb+G174*Fortenb+H174*Fortenb)</f>
        <v>0</v>
      </c>
      <c r="V174" s="308">
        <f t="shared" si="68"/>
        <v>-63</v>
      </c>
      <c r="W174" s="318">
        <f t="shared" si="69"/>
        <v>-567</v>
      </c>
    </row>
    <row r="175" ht="12.75" customHeight="1">
      <c r="A175" s="308"/>
      <c r="B175" s="329"/>
      <c r="S175" s="308"/>
      <c r="V175" s="308"/>
      <c r="W175" s="318"/>
    </row>
    <row r="176" ht="12.75" customHeight="1">
      <c r="A176" s="308"/>
      <c r="B176" s="329" t="s">
        <v>134</v>
      </c>
      <c r="C176" s="303">
        <f t="shared" ref="C176:S176" si="70">SUM(C164:C175)</f>
        <v>0</v>
      </c>
      <c r="D176" s="303">
        <f t="shared" si="70"/>
        <v>0</v>
      </c>
      <c r="E176" s="303">
        <f t="shared" si="70"/>
        <v>0</v>
      </c>
      <c r="F176" s="303">
        <f t="shared" si="70"/>
        <v>21</v>
      </c>
      <c r="G176" s="303">
        <f t="shared" si="70"/>
        <v>0</v>
      </c>
      <c r="H176" s="303">
        <f t="shared" si="70"/>
        <v>0</v>
      </c>
      <c r="I176" s="303">
        <f t="shared" si="70"/>
        <v>0</v>
      </c>
      <c r="J176" s="303">
        <f t="shared" si="70"/>
        <v>0</v>
      </c>
      <c r="K176" s="303">
        <f t="shared" si="70"/>
        <v>9</v>
      </c>
      <c r="L176" s="303">
        <f t="shared" si="70"/>
        <v>0</v>
      </c>
      <c r="M176" s="303">
        <f t="shared" si="70"/>
        <v>0</v>
      </c>
      <c r="N176" s="303">
        <f t="shared" si="70"/>
        <v>0</v>
      </c>
      <c r="O176" s="303">
        <f t="shared" si="70"/>
        <v>0</v>
      </c>
      <c r="P176" s="303">
        <f t="shared" si="70"/>
        <v>0</v>
      </c>
      <c r="Q176" s="303">
        <f t="shared" si="70"/>
        <v>0</v>
      </c>
      <c r="R176" s="303">
        <f t="shared" si="70"/>
        <v>0</v>
      </c>
      <c r="S176" s="323">
        <f t="shared" si="70"/>
        <v>4</v>
      </c>
      <c r="T176" s="303">
        <f t="shared" ref="T176:U176" si="71">SUM(T164:T172)</f>
        <v>1327.2</v>
      </c>
      <c r="U176" s="303">
        <f t="shared" si="71"/>
        <v>208.5</v>
      </c>
      <c r="V176" s="323"/>
      <c r="W176" s="324"/>
    </row>
    <row r="177" ht="12.75" customHeight="1">
      <c r="A177" s="308"/>
      <c r="B177" s="309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9"/>
      <c r="T177" s="300"/>
      <c r="U177" s="300"/>
      <c r="V177" s="309"/>
      <c r="W177" s="310"/>
    </row>
    <row r="178" ht="12.75" customHeight="1">
      <c r="A178" s="308"/>
      <c r="B178" s="312" t="s">
        <v>168</v>
      </c>
      <c r="D178" s="313" t="s">
        <v>136</v>
      </c>
      <c r="E178" s="314"/>
      <c r="F178" s="315">
        <v>19.0</v>
      </c>
      <c r="G178" s="316"/>
      <c r="H178" s="317"/>
      <c r="I178" s="313" t="s">
        <v>137</v>
      </c>
      <c r="J178" s="314"/>
      <c r="K178" s="315">
        <v>5.0</v>
      </c>
      <c r="S178" s="308"/>
      <c r="V178" s="308"/>
      <c r="W178" s="318"/>
    </row>
    <row r="179" ht="12.75" customHeight="1">
      <c r="A179" s="308"/>
      <c r="B179" s="308"/>
      <c r="C179" s="303" t="str">
        <f>Jahr!C3</f>
        <v>FI</v>
      </c>
      <c r="D179" s="303" t="str">
        <f>Jahr!D3</f>
        <v>FII</v>
      </c>
      <c r="E179" s="303" t="str">
        <f>Jahr!E3</f>
        <v>SI</v>
      </c>
      <c r="F179" s="303" t="str">
        <f>Jahr!F3</f>
        <v>NI</v>
      </c>
      <c r="G179" s="303" t="str">
        <f>Jahr!G3</f>
        <v>DI</v>
      </c>
      <c r="H179" s="303" t="str">
        <f>Jahr!H3</f>
        <v>DII</v>
      </c>
      <c r="I179" s="303" t="str">
        <f>Jahr!I3</f>
        <v>SD</v>
      </c>
      <c r="J179" s="303" t="str">
        <f>Jahr!J3</f>
        <v>GT</v>
      </c>
      <c r="K179" s="303" t="str">
        <f>Jahr!K3</f>
        <v>U</v>
      </c>
      <c r="L179" s="303" t="str">
        <f>Jahr!L3</f>
        <v>EH</v>
      </c>
      <c r="M179" s="303" t="str">
        <f>Jahr!M3</f>
        <v>KT</v>
      </c>
      <c r="N179" s="303" t="str">
        <f>Jahr!N3</f>
        <v>Sek</v>
      </c>
      <c r="O179" s="303" t="str">
        <f>Jahr!O3</f>
        <v>Fobi</v>
      </c>
      <c r="P179" s="303" t="str">
        <f>Jahr!P3</f>
        <v>A</v>
      </c>
      <c r="Q179" s="303" t="str">
        <f>Jahr!Q3</f>
        <v>Kur</v>
      </c>
      <c r="R179" s="303" t="str">
        <f>Jahr!R3</f>
        <v>FZC</v>
      </c>
      <c r="S179" s="303" t="str">
        <f>Jahr!S3</f>
        <v>NST</v>
      </c>
      <c r="T179" s="358" t="s">
        <v>144</v>
      </c>
      <c r="U179" s="358" t="s">
        <v>145</v>
      </c>
      <c r="V179" s="323" t="s">
        <v>146</v>
      </c>
      <c r="W179" s="324" t="s">
        <v>147</v>
      </c>
    </row>
    <row r="180" ht="12.75" customHeight="1">
      <c r="A180" s="308"/>
      <c r="B180" s="329" t="str">
        <f t="shared" ref="B180:B190" si="72">B4</f>
        <v>Breig</v>
      </c>
      <c r="C180" s="302">
        <f>SUMPRODUCT((ISNUMBER(SEARCH($Y3,Dienstplan!$B$25:$B$36))*(ISNUMBER(SEARCH($AB$3,Dienstplan!$EZ$25:$GD$36)))))-D180</f>
        <v>0</v>
      </c>
      <c r="D180" s="302">
        <f>SUMPRODUCT((ISNUMBER(SEARCH($Y3,Dienstplan!$B$25:$B$36))*(ISNUMBER(SEARCH($AB$4,Dienstplan!$EZ$25:$GD$36)))))</f>
        <v>0</v>
      </c>
      <c r="E180" s="302">
        <f>SUMPRODUCT((ISNUMBER(SEARCH($Y3,Dienstplan!$B$25:$B$36))*(ISNUMBER(SEARCH($AB$5,Dienstplan!$EY$25:$GD$36)))))-2</f>
        <v>-2</v>
      </c>
      <c r="F180" s="302">
        <f>SUMPRODUCT((ISNUMBER(SEARCH($Y3,Dienstplan!$B$25:$B$36))*(ISNUMBER(SEARCH($AB$6,Dienstplan!$EZ$25:$GD$36)))))</f>
        <v>4</v>
      </c>
      <c r="G180" s="302">
        <f>SUMPRODUCT((ISNUMBER(SEARCH($Y3,Dienstplan!$B$25:$B$36))*(ISNUMBER(SEARCH($AB$7,Dienstplan!$EZ$25:$GD$36)))))-H180</f>
        <v>0</v>
      </c>
      <c r="H180" s="302">
        <f>SUMPRODUCT((ISNUMBER(SEARCH($Y3,Dienstplan!$B$25:$B$36))*(ISNUMBER(SEARCH($AB$8,Dienstplan!$EZ$25:$GD$36)))))</f>
        <v>0</v>
      </c>
      <c r="I180" s="302">
        <f>SUMPRODUCT((ISNUMBER(SEARCH($Y3,Dienstplan!$B$25:$B$36))*(ISNUMBER(SEARCH($AB$9,Dienstplan!$EZ$25:$GD$36)))))</f>
        <v>0</v>
      </c>
      <c r="J180" s="302">
        <f>SUMPRODUCT((ISNUMBER(SEARCH($Y3,Dienstplan!$B$25:$B$36))*(ISNUMBER(SEARCH($AB$10,Dienstplan!$EZ$25:$GD$36)))))</f>
        <v>0</v>
      </c>
      <c r="K180" s="302">
        <f>SUMPRODUCT((ISNUMBER(SEARCH($Y3,Dienstplan!$B$25:$B$36))*(ISNUMBER(SEARCH($AB$11,Dienstplan!$EZ$25:$GD$36)))))-$Q180</f>
        <v>0</v>
      </c>
      <c r="L180" s="302">
        <f>SUMPRODUCT((ISNUMBER(SEARCH($Y3,Dienstplan!$B$25:$B$36))*(ISNUMBER(SEARCH($AB$12,Dienstplan!$EZ$25:$GD$36)))))</f>
        <v>0</v>
      </c>
      <c r="M180" s="302">
        <f>SUMPRODUCT((ISNUMBER(SEARCH($Y3,Dienstplan!$B$25:$B$36))*(ISNUMBER(SEARCH($AB$13,Dienstplan!$EZ$25:$GD$36)))))</f>
        <v>0</v>
      </c>
      <c r="N180" s="302">
        <f>SUMPRODUCT((ISNUMBER(SEARCH($Y3,Dienstplan!$B$25:$B$36))*(ISNUMBER(SEARCH($AB$14,Dienstplan!$EZ$25:$GD$36)))))</f>
        <v>0</v>
      </c>
      <c r="O180" s="302">
        <f>SUMPRODUCT((ISNUMBER(SEARCH($Y3,Dienstplan!$B$25:$B$36))*(ISNUMBER(SEARCH($AB$15,Dienstplan!$EZ$25:$GD$36)))))</f>
        <v>0</v>
      </c>
      <c r="P180" s="302">
        <f>SUMPRODUCT((ISNUMBER(SEARCH($Y3,Dienstplan!$B$25:$B$36))*(ISNUMBER(SEARCH($AB$16,Dienstplan!$EZ$25:$GD$36)))))</f>
        <v>0</v>
      </c>
      <c r="Q180" s="302">
        <f>SUMPRODUCT((ISNUMBER(SEARCH($Y3,Dienstplan!$B$25:$B$36))*(ISNUMBER(SEARCH($AB$17,Dienstplan!$EZ$25:$GD$36)))))</f>
        <v>0</v>
      </c>
      <c r="R180" s="302">
        <f>SUMPRODUCT((ISNUMBER(SEARCH($Y3,Dienstplan!$B$25:$B$36))*(ISNUMBER(SEARCH($AB$18,Dienstplan!$EZ$25:$GD$36)))))</f>
        <v>0</v>
      </c>
      <c r="S180" s="308">
        <f>SUMPRODUCT((ISNUMBER(SEARCH($Y3,Dienstplan!$B$25:$B$36))*(ISNUMBER(SEARCH($AB$19,Dienstplan!$EZ$25:$GD$36)))))</f>
        <v>0</v>
      </c>
      <c r="T180" s="302">
        <f t="shared" ref="T180:T190" si="73">SUM($F$178*$Z3)</f>
        <v>152</v>
      </c>
      <c r="U180" s="330">
        <f>SUM($C180*Frueh_1+$D180*Spaet_1+$E180*Nacht_1+$F180*Normal_1+$I180*Sonderd_1-$J180*Velten+$K180*Velten+$L180*EH_Kurs+$M180*Koor_taet+$N180*Sekre_1+$O180*Velten+$R180*Velten+$P180*Velten+$Q180*Velten+G180*Velt_M+H180*Velt_M)</f>
        <v>15</v>
      </c>
      <c r="V180" s="308">
        <f t="shared" ref="V180:V190" si="74">SUM($U180-$T180)</f>
        <v>-137</v>
      </c>
      <c r="W180" s="318">
        <f t="shared" ref="W180:W190" si="75">V180+W164</f>
        <v>-996</v>
      </c>
    </row>
    <row r="181" ht="12.75" customHeight="1">
      <c r="A181" s="308"/>
      <c r="B181" s="329" t="str">
        <f t="shared" si="72"/>
        <v>Siebert</v>
      </c>
      <c r="C181" s="302">
        <f>SUMPRODUCT((ISNUMBER(SEARCH($Y4,Dienstplan!$B$25:$B$36))*(ISNUMBER(SEARCH($AB$3,Dienstplan!$EZ$25:$GD$36)))))-D181</f>
        <v>0</v>
      </c>
      <c r="D181" s="302">
        <f>SUMPRODUCT((ISNUMBER(SEARCH($Y4,Dienstplan!$B$25:$B$36))*(ISNUMBER(SEARCH($AB$4,Dienstplan!$EZ$25:$GD$36)))))</f>
        <v>0</v>
      </c>
      <c r="E181" s="302">
        <f>SUMPRODUCT((ISNUMBER(SEARCH($Y4,Dienstplan!$B$25:$B$36))*(ISNUMBER(SEARCH($AB$5,Dienstplan!$EY$25:$GD$36)))))</f>
        <v>0</v>
      </c>
      <c r="F181" s="302">
        <f>SUMPRODUCT((ISNUMBER(SEARCH($Y4,Dienstplan!$B$25:$B$36))*(ISNUMBER(SEARCH($AB$6,Dienstplan!$EZ$25:$GD$36)))))</f>
        <v>5</v>
      </c>
      <c r="G181" s="302">
        <f>SUMPRODUCT((ISNUMBER(SEARCH($Y4,Dienstplan!$B$25:$B$36))*(ISNUMBER(SEARCH($AB$7,Dienstplan!$EZ$25:$GD$36)))))-H181</f>
        <v>0</v>
      </c>
      <c r="H181" s="302">
        <f>SUMPRODUCT((ISNUMBER(SEARCH($Y4,Dienstplan!$B$25:$B$36))*(ISNUMBER(SEARCH($AB$8,Dienstplan!$EZ$25:$GD$36)))))</f>
        <v>0</v>
      </c>
      <c r="I181" s="302">
        <f>SUMPRODUCT((ISNUMBER(SEARCH($Y4,Dienstplan!$B$25:$B$36))*(ISNUMBER(SEARCH($AB$9,Dienstplan!$EZ$25:$GD$36)))))</f>
        <v>0</v>
      </c>
      <c r="J181" s="302">
        <f>SUMPRODUCT((ISNUMBER(SEARCH($Y4,Dienstplan!$B$25:$B$36))*(ISNUMBER(SEARCH($AB$10,Dienstplan!$EZ$25:$GD$36)))))</f>
        <v>0</v>
      </c>
      <c r="K181" s="302">
        <f>SUMPRODUCT((ISNUMBER(SEARCH($Y4,Dienstplan!$B$25:$B$36))*(ISNUMBER(SEARCH($AB$11,Dienstplan!$EZ$25:$GD$36)))))-$Q181</f>
        <v>7</v>
      </c>
      <c r="L181" s="302">
        <f>SUMPRODUCT((ISNUMBER(SEARCH($Y4,Dienstplan!$B$25:$B$36))*(ISNUMBER(SEARCH($AB$12,Dienstplan!$EZ$25:$GD$36)))))</f>
        <v>0</v>
      </c>
      <c r="M181" s="302">
        <f>SUMPRODUCT((ISNUMBER(SEARCH($Y4,Dienstplan!$B$25:$B$36))*(ISNUMBER(SEARCH($AB$13,Dienstplan!$EZ$25:$GD$36)))))</f>
        <v>0</v>
      </c>
      <c r="N181" s="302">
        <f>SUMPRODUCT((ISNUMBER(SEARCH($Y4,Dienstplan!$B$25:$B$36))*(ISNUMBER(SEARCH($AB$14,Dienstplan!$EZ$25:$GD$36)))))</f>
        <v>0</v>
      </c>
      <c r="O181" s="302">
        <f>SUMPRODUCT((ISNUMBER(SEARCH($Y4,Dienstplan!$B$25:$B$36))*(ISNUMBER(SEARCH($AB$15,Dienstplan!$EZ$25:$GD$36)))))</f>
        <v>0</v>
      </c>
      <c r="P181" s="302">
        <f>SUMPRODUCT((ISNUMBER(SEARCH($Y4,Dienstplan!$B$25:$B$36))*(ISNUMBER(SEARCH($AB$16,Dienstplan!$EZ$25:$GD$36)))))</f>
        <v>0</v>
      </c>
      <c r="Q181" s="302">
        <f>SUMPRODUCT((ISNUMBER(SEARCH($Y4,Dienstplan!$B$25:$B$36))*(ISNUMBER(SEARCH($AB$17,Dienstplan!$EZ$25:$GD$36)))))</f>
        <v>0</v>
      </c>
      <c r="R181" s="302">
        <f>SUMPRODUCT((ISNUMBER(SEARCH($Y4,Dienstplan!$B$25:$B$36))*(ISNUMBER(SEARCH($AB$18,Dienstplan!$EZ$25:$GD$36)))))</f>
        <v>0</v>
      </c>
      <c r="S181" s="308">
        <f>SUMPRODUCT((ISNUMBER(SEARCH($Y4,Dienstplan!$B$25:$B$36))*(ISNUMBER(SEARCH($AB$19,Dienstplan!$EZ$25:$GD$36)))))</f>
        <v>1</v>
      </c>
      <c r="T181" s="302">
        <f t="shared" si="73"/>
        <v>133</v>
      </c>
      <c r="U181" s="330">
        <f>SUM($C181*Frueh_1+$D181*Spaet_1+$E181*Nacht_1+$F181*Normal_1+$I181*Sonderd_1-$J181*Brue_H+$K181*Brue_H+$L181*EH_Kurs+$M181*Koor_taet+$N181*Sekre_1+$O181*Brue_H+$R181*Brue_H+$P181*Brue_H+$Q181*Brue_H+G181*Brue_H+H181*Brue_H)</f>
        <v>86.5</v>
      </c>
      <c r="V181" s="308">
        <f t="shared" si="74"/>
        <v>-46.5</v>
      </c>
      <c r="W181" s="318">
        <f t="shared" si="75"/>
        <v>-776.75</v>
      </c>
    </row>
    <row r="182" ht="12.75" customHeight="1">
      <c r="A182" s="308"/>
      <c r="B182" s="329" t="str">
        <f t="shared" si="72"/>
        <v>Jochim</v>
      </c>
      <c r="C182" s="302">
        <f>SUMPRODUCT((ISNUMBER(SEARCH($Y5,Dienstplan!$B$25:$B$36))*(ISNUMBER(SEARCH($AB$3,Dienstplan!$EZ$25:$GD$36)))))-D182</f>
        <v>0</v>
      </c>
      <c r="D182" s="302">
        <f>SUMPRODUCT((ISNUMBER(SEARCH($Y5,Dienstplan!$B$25:$B$36))*(ISNUMBER(SEARCH($AB$4,Dienstplan!$EZ$25:$GD$36)))))</f>
        <v>0</v>
      </c>
      <c r="E182" s="302">
        <f>SUMPRODUCT((ISNUMBER(SEARCH($Y5,Dienstplan!$B$25:$B$36))*(ISNUMBER(SEARCH($AB$5,Dienstplan!$EY$25:$GD$36)))))</f>
        <v>0</v>
      </c>
      <c r="F182" s="302">
        <f>SUMPRODUCT((ISNUMBER(SEARCH($Y5,Dienstplan!$B$25:$B$36))*(ISNUMBER(SEARCH($AB$6,Dienstplan!$EZ$25:$GD$36)))))</f>
        <v>0</v>
      </c>
      <c r="G182" s="302">
        <f>SUMPRODUCT((ISNUMBER(SEARCH($Y5,Dienstplan!$B$25:$B$36))*(ISNUMBER(SEARCH($AB$7,Dienstplan!$EZ$25:$GD$36)))))-H182</f>
        <v>0</v>
      </c>
      <c r="H182" s="302">
        <f>SUMPRODUCT((ISNUMBER(SEARCH($Y5,Dienstplan!$B$25:$B$36))*(ISNUMBER(SEARCH($AB$8,Dienstplan!$EZ$25:$GD$36)))))</f>
        <v>0</v>
      </c>
      <c r="I182" s="302">
        <f>SUMPRODUCT((ISNUMBER(SEARCH($Y5,Dienstplan!$B$25:$B$36))*(ISNUMBER(SEARCH($AB$9,Dienstplan!$EZ$25:$GD$36)))))</f>
        <v>0</v>
      </c>
      <c r="J182" s="302">
        <f>SUMPRODUCT((ISNUMBER(SEARCH($Y5,Dienstplan!$B$25:$B$36))*(ISNUMBER(SEARCH($AB$10,Dienstplan!$EZ$25:$GD$36)))))</f>
        <v>0</v>
      </c>
      <c r="K182" s="302">
        <f>SUMPRODUCT((ISNUMBER(SEARCH($Y5,Dienstplan!$B$25:$B$36))*(ISNUMBER(SEARCH($AB$11,Dienstplan!$EZ$25:$GD$36)))))-$Q182</f>
        <v>0</v>
      </c>
      <c r="L182" s="302">
        <f>SUMPRODUCT((ISNUMBER(SEARCH($Y5,Dienstplan!$B$25:$B$36))*(ISNUMBER(SEARCH($AB$12,Dienstplan!$EZ$25:$GD$36)))))</f>
        <v>0</v>
      </c>
      <c r="M182" s="302">
        <f>SUMPRODUCT((ISNUMBER(SEARCH($Y5,Dienstplan!$B$25:$B$36))*(ISNUMBER(SEARCH($AB$13,Dienstplan!$EZ$25:$GD$36)))))</f>
        <v>0</v>
      </c>
      <c r="N182" s="302">
        <f>SUMPRODUCT((ISNUMBER(SEARCH($Y5,Dienstplan!$B$25:$B$36))*(ISNUMBER(SEARCH($AB$14,Dienstplan!$EZ$25:$GD$36)))))</f>
        <v>0</v>
      </c>
      <c r="O182" s="302">
        <f>SUMPRODUCT((ISNUMBER(SEARCH($Y5,Dienstplan!$B$25:$B$36))*(ISNUMBER(SEARCH($AB$15,Dienstplan!$EZ$25:$GD$36)))))</f>
        <v>0</v>
      </c>
      <c r="P182" s="302">
        <f>SUMPRODUCT((ISNUMBER(SEARCH($Y5,Dienstplan!$B$25:$B$36))*(ISNUMBER(SEARCH($AB$16,Dienstplan!$EZ$25:$GD$36)))))</f>
        <v>0</v>
      </c>
      <c r="Q182" s="302">
        <f>SUMPRODUCT((ISNUMBER(SEARCH($Y5,Dienstplan!$B$25:$B$36))*(ISNUMBER(SEARCH($AB$17,Dienstplan!$EZ$25:$GD$36)))))</f>
        <v>0</v>
      </c>
      <c r="R182" s="302">
        <f>SUMPRODUCT((ISNUMBER(SEARCH($Y5,Dienstplan!$B$25:$B$36))*(ISNUMBER(SEARCH($AB$18,Dienstplan!$EZ$25:$GD$36)))))</f>
        <v>0</v>
      </c>
      <c r="S182" s="308">
        <f>SUMPRODUCT((ISNUMBER(SEARCH($Y5,Dienstplan!$B$25:$B$36))*(ISNUMBER(SEARCH($AB$19,Dienstplan!$EZ$25:$GD$36)))))</f>
        <v>0</v>
      </c>
      <c r="T182" s="302">
        <f t="shared" si="73"/>
        <v>133</v>
      </c>
      <c r="U182" s="330">
        <f>SUM($C182*Frueh_1+$D182*Spaet_1+$E182*Nacht_1+$F182*Normal_1+$I182*Sonderd_1-$J182*Rath_M+$K182*Rath_M+$L182*EH_Kurs+$M182*Koor_taet+$N182*Sekre_1+$O182*Rath_M+$R182*Rath_M+$P182*Rath_M+$Q182*Rath_M+G182*Rath_M+H182*Rath_M)</f>
        <v>0</v>
      </c>
      <c r="V182" s="308">
        <f t="shared" si="74"/>
        <v>-133</v>
      </c>
      <c r="W182" s="318">
        <f t="shared" si="75"/>
        <v>-1608.75</v>
      </c>
    </row>
    <row r="183" ht="12.75" customHeight="1">
      <c r="A183" s="308"/>
      <c r="B183" s="329" t="str">
        <f t="shared" si="72"/>
        <v>Wunsch</v>
      </c>
      <c r="C183" s="302">
        <f>SUMPRODUCT((ISNUMBER(SEARCH($Y6,Dienstplan!$B$25:$B$36))*(ISNUMBER(SEARCH($AB$3,Dienstplan!$EZ$25:$GD$36)))))-D183</f>
        <v>0</v>
      </c>
      <c r="D183" s="302">
        <f>SUMPRODUCT((ISNUMBER(SEARCH($Y6,Dienstplan!$B$25:$B$36))*(ISNUMBER(SEARCH($AB$4,Dienstplan!$EZ$25:$GD$36)))))</f>
        <v>0</v>
      </c>
      <c r="E183" s="302">
        <f>SUMPRODUCT((ISNUMBER(SEARCH($Y6,Dienstplan!$B$25:$B$36))*(ISNUMBER(SEARCH($AB$5,Dienstplan!$EY$25:$GD$36)))))</f>
        <v>0</v>
      </c>
      <c r="F183" s="302">
        <f>SUMPRODUCT((ISNUMBER(SEARCH($Y6,Dienstplan!$B$25:$B$36))*(ISNUMBER(SEARCH($AB$6,Dienstplan!$EZ$25:$GD$36)))))</f>
        <v>0</v>
      </c>
      <c r="G183" s="302">
        <f>SUMPRODUCT((ISNUMBER(SEARCH($Y6,Dienstplan!$B$25:$B$36))*(ISNUMBER(SEARCH($AB$7,Dienstplan!$EZ$25:$GD$36)))))-H183</f>
        <v>0</v>
      </c>
      <c r="H183" s="302">
        <f>SUMPRODUCT((ISNUMBER(SEARCH($Y6,Dienstplan!$B$25:$B$36))*(ISNUMBER(SEARCH($AB$8,Dienstplan!$EZ$25:$GD$36)))))</f>
        <v>0</v>
      </c>
      <c r="I183" s="302">
        <f>SUMPRODUCT((ISNUMBER(SEARCH($Y6,Dienstplan!$B$25:$B$36))*(ISNUMBER(SEARCH($AB$9,Dienstplan!$EZ$25:$GD$36)))))</f>
        <v>0</v>
      </c>
      <c r="J183" s="302">
        <f>SUMPRODUCT((ISNUMBER(SEARCH($Y6,Dienstplan!$B$25:$B$36))*(ISNUMBER(SEARCH($AB$10,Dienstplan!$EZ$25:$GD$36)))))</f>
        <v>0</v>
      </c>
      <c r="K183" s="302">
        <f>SUMPRODUCT((ISNUMBER(SEARCH($Y6,Dienstplan!$B$25:$B$36))*(ISNUMBER(SEARCH($AB$11,Dienstplan!$EZ$25:$GD$36)))))-$Q183</f>
        <v>1</v>
      </c>
      <c r="L183" s="302">
        <f>SUMPRODUCT((ISNUMBER(SEARCH($Y6,Dienstplan!$B$25:$B$36))*(ISNUMBER(SEARCH($AB$12,Dienstplan!$EZ$25:$GD$36)))))</f>
        <v>0</v>
      </c>
      <c r="M183" s="302">
        <f>SUMPRODUCT((ISNUMBER(SEARCH($Y6,Dienstplan!$B$25:$B$36))*(ISNUMBER(SEARCH($AB$13,Dienstplan!$EZ$25:$GD$36)))))</f>
        <v>0</v>
      </c>
      <c r="N183" s="302">
        <f>SUMPRODUCT((ISNUMBER(SEARCH($Y6,Dienstplan!$B$25:$B$36))*(ISNUMBER(SEARCH($AB$14,Dienstplan!$EZ$25:$GD$36)))))</f>
        <v>0</v>
      </c>
      <c r="O183" s="302">
        <f>SUMPRODUCT((ISNUMBER(SEARCH($Y6,Dienstplan!$B$25:$B$36))*(ISNUMBER(SEARCH($AB$15,Dienstplan!$EZ$25:$GD$36)))))</f>
        <v>0</v>
      </c>
      <c r="P183" s="302">
        <f>SUMPRODUCT((ISNUMBER(SEARCH($Y6,Dienstplan!$B$25:$B$36))*(ISNUMBER(SEARCH($AB$16,Dienstplan!$EZ$25:$GD$36)))))</f>
        <v>0</v>
      </c>
      <c r="Q183" s="302">
        <f>SUMPRODUCT((ISNUMBER(SEARCH($Y6,Dienstplan!$B$25:$B$36))*(ISNUMBER(SEARCH($AB$17,Dienstplan!$EZ$25:$GD$36)))))</f>
        <v>0</v>
      </c>
      <c r="R183" s="302">
        <f>SUMPRODUCT((ISNUMBER(SEARCH($Y6,Dienstplan!$B$25:$B$36))*(ISNUMBER(SEARCH($AB$18,Dienstplan!$EZ$25:$GD$36)))))</f>
        <v>0</v>
      </c>
      <c r="S183" s="308">
        <f>SUMPRODUCT((ISNUMBER(SEARCH($Y6,Dienstplan!$B$25:$B$36))*(ISNUMBER(SEARCH($AB$19,Dienstplan!$EZ$25:$GD$36)))))</f>
        <v>0</v>
      </c>
      <c r="T183" s="302">
        <f t="shared" si="73"/>
        <v>152</v>
      </c>
      <c r="U183" s="330">
        <f>SUM($C183*Frueh_1+$D183*Spaet_1+$E183*Nacht_1+$F183*Normal_1+$I183*Sonderd_1-$J183*Scho_K+$K183*Scho_K+$L183*EH_Kurs+$M183*Koor_taet+$N183*Sekre_1+$O183*Scho_K+$R183*Scho_K+$P183*Scho_K+$Q183*Scho_K*G183+Scho_K*H183+Scho_K)</f>
        <v>16</v>
      </c>
      <c r="V183" s="308">
        <f t="shared" si="74"/>
        <v>-136</v>
      </c>
      <c r="W183" s="318">
        <f t="shared" si="75"/>
        <v>-1023.5</v>
      </c>
    </row>
    <row r="184" ht="12.75" customHeight="1">
      <c r="A184" s="308"/>
      <c r="B184" s="329" t="str">
        <f t="shared" si="72"/>
        <v>Göpfrich</v>
      </c>
      <c r="C184" s="302">
        <f>SUMPRODUCT((ISNUMBER(SEARCH($Y7,Dienstplan!$B$25:$B$36))*(ISNUMBER(SEARCH($AB$3,Dienstplan!$EZ$25:$GD$36)))))-D184</f>
        <v>0</v>
      </c>
      <c r="D184" s="302">
        <f>SUMPRODUCT((ISNUMBER(SEARCH($Y7,Dienstplan!$B$25:$B$36))*(ISNUMBER(SEARCH($AB$4,Dienstplan!$EZ$25:$GD$36)))))</f>
        <v>0</v>
      </c>
      <c r="E184" s="302">
        <f>SUMPRODUCT((ISNUMBER(SEARCH($Y7,Dienstplan!$B$25:$B$36))*(ISNUMBER(SEARCH($AB$5,Dienstplan!$EY$25:$GD$36)))))</f>
        <v>0</v>
      </c>
      <c r="F184" s="302">
        <f>SUMPRODUCT((ISNUMBER(SEARCH($Y7,Dienstplan!$B$25:$B$36))*(ISNUMBER(SEARCH($AB$6,Dienstplan!$EZ$25:$GD$36)))))</f>
        <v>3</v>
      </c>
      <c r="G184" s="302">
        <f>SUMPRODUCT((ISNUMBER(SEARCH($Y7,Dienstplan!$B$25:$B$36))*(ISNUMBER(SEARCH($AB$7,Dienstplan!$EZ$25:$GD$36)))))-H184</f>
        <v>0</v>
      </c>
      <c r="H184" s="302">
        <f>SUMPRODUCT((ISNUMBER(SEARCH($Y7,Dienstplan!$B$25:$B$36))*(ISNUMBER(SEARCH($AB$8,Dienstplan!$EZ$25:$GD$36)))))</f>
        <v>0</v>
      </c>
      <c r="I184" s="302">
        <f>SUMPRODUCT((ISNUMBER(SEARCH($Y7,Dienstplan!$B$25:$B$36))*(ISNUMBER(SEARCH($AB$9,Dienstplan!$EZ$25:$GD$36)))))</f>
        <v>0</v>
      </c>
      <c r="J184" s="302">
        <f>SUMPRODUCT((ISNUMBER(SEARCH($Y7,Dienstplan!$B$25:$B$36))*(ISNUMBER(SEARCH($AB$10,Dienstplan!$EZ$25:$GD$36)))))</f>
        <v>0</v>
      </c>
      <c r="K184" s="302">
        <f>SUMPRODUCT((ISNUMBER(SEARCH($Y7,Dienstplan!$B$25:$B$36))*(ISNUMBER(SEARCH($AB$11,Dienstplan!$EZ$25:$GD$36)))))-$Q184</f>
        <v>6</v>
      </c>
      <c r="L184" s="302">
        <f>SUMPRODUCT((ISNUMBER(SEARCH($Y7,Dienstplan!$B$25:$B$36))*(ISNUMBER(SEARCH($AB$12,Dienstplan!$EZ$25:$GD$36)))))</f>
        <v>0</v>
      </c>
      <c r="M184" s="302">
        <f>SUMPRODUCT((ISNUMBER(SEARCH($Y7,Dienstplan!$B$25:$B$36))*(ISNUMBER(SEARCH($AB$13,Dienstplan!$EZ$25:$GD$36)))))</f>
        <v>0</v>
      </c>
      <c r="N184" s="302">
        <f>SUMPRODUCT((ISNUMBER(SEARCH($Y7,Dienstplan!$B$25:$B$36))*(ISNUMBER(SEARCH($AB$14,Dienstplan!$EZ$25:$GD$36)))))</f>
        <v>0</v>
      </c>
      <c r="O184" s="302">
        <f>SUMPRODUCT((ISNUMBER(SEARCH($Y7,Dienstplan!$B$25:$B$36))*(ISNUMBER(SEARCH($AB$15,Dienstplan!$EZ$25:$GD$36)))))</f>
        <v>0</v>
      </c>
      <c r="P184" s="302">
        <f>SUMPRODUCT((ISNUMBER(SEARCH($Y7,Dienstplan!$B$25:$B$36))*(ISNUMBER(SEARCH($AB$16,Dienstplan!$EZ$25:$GD$36)))))</f>
        <v>0</v>
      </c>
      <c r="Q184" s="302">
        <f>SUMPRODUCT((ISNUMBER(SEARCH($Y7,Dienstplan!$B$25:$B$36))*(ISNUMBER(SEARCH($AB$17,Dienstplan!$EZ$25:$GD$36)))))</f>
        <v>0</v>
      </c>
      <c r="R184" s="302">
        <f>SUMPRODUCT((ISNUMBER(SEARCH($Y7,Dienstplan!$B$25:$B$36))*(ISNUMBER(SEARCH($AB$18,Dienstplan!$EZ$25:$GD$36)))))</f>
        <v>0</v>
      </c>
      <c r="S184" s="308">
        <f>SUMPRODUCT((ISNUMBER(SEARCH($Y7,Dienstplan!$B$25:$B$36))*(ISNUMBER(SEARCH($AB$19,Dienstplan!$EZ$25:$GD$36)))))</f>
        <v>1</v>
      </c>
      <c r="T184" s="302">
        <f t="shared" si="73"/>
        <v>133</v>
      </c>
      <c r="U184" s="330">
        <f>SUM($C184*Frueh_1+$D184*Spaet_1+$E184*Nacht_1+$F184*Normal_1+$I184*Sonderd_1-$J184*Krie_B+$K184*Krie_B+$L184*EH_Kurs+$M184*Koor_taet+$N184*Sekre_1+$O184*Krie_B+$R184*Krie_B+$P184*Krie_B+$Q184*Krie_B*G184+Krie_B*H184+Krie_B)</f>
        <v>71.5</v>
      </c>
      <c r="V184" s="308">
        <f t="shared" si="74"/>
        <v>-61.5</v>
      </c>
      <c r="W184" s="318">
        <f t="shared" si="75"/>
        <v>-767.75</v>
      </c>
    </row>
    <row r="185" ht="12.75" customHeight="1">
      <c r="A185" s="308"/>
      <c r="B185" s="329" t="str">
        <f t="shared" si="72"/>
        <v>Zeller</v>
      </c>
      <c r="C185" s="302">
        <f>SUMPRODUCT((ISNUMBER(SEARCH($Y8,Dienstplan!$B$25:$B$36))*(ISNUMBER(SEARCH($AB$3,Dienstplan!$EZ$25:$GD$36)))))-D185</f>
        <v>0</v>
      </c>
      <c r="D185" s="302">
        <f>SUMPRODUCT((ISNUMBER(SEARCH($Y8,Dienstplan!$B$25:$B$36))*(ISNUMBER(SEARCH($AB$4,Dienstplan!$EZ$25:$GD$36)))))</f>
        <v>0</v>
      </c>
      <c r="E185" s="302">
        <f>SUMPRODUCT((ISNUMBER(SEARCH($Y8,Dienstplan!$B$25:$B$36))*(ISNUMBER(SEARCH($AB$5,Dienstplan!$EY$25:$GD$36)))))</f>
        <v>0</v>
      </c>
      <c r="F185" s="302">
        <f>SUMPRODUCT((ISNUMBER(SEARCH($Y8,Dienstplan!$B$25:$B$36))*(ISNUMBER(SEARCH($AB$6,Dienstplan!$EZ$25:$GD$36)))))</f>
        <v>5</v>
      </c>
      <c r="G185" s="302">
        <f>SUMPRODUCT((ISNUMBER(SEARCH($Y8,Dienstplan!$B$25:$B$36))*(ISNUMBER(SEARCH($AB$7,Dienstplan!$EZ$25:$GD$36)))))-H185</f>
        <v>0</v>
      </c>
      <c r="H185" s="302">
        <f>SUMPRODUCT((ISNUMBER(SEARCH($Y8,Dienstplan!$B$25:$B$36))*(ISNUMBER(SEARCH($AB$8,Dienstplan!$EZ$25:$GD$36)))))</f>
        <v>0</v>
      </c>
      <c r="I185" s="302">
        <f>SUMPRODUCT((ISNUMBER(SEARCH($Y8,Dienstplan!$B$25:$B$36))*(ISNUMBER(SEARCH($AB$9,Dienstplan!$EZ$25:$GD$36)))))</f>
        <v>0</v>
      </c>
      <c r="J185" s="302">
        <f>SUMPRODUCT((ISNUMBER(SEARCH($Y8,Dienstplan!$B$25:$B$36))*(ISNUMBER(SEARCH($AB$10,Dienstplan!$EZ$25:$GD$36)))))</f>
        <v>0</v>
      </c>
      <c r="K185" s="302">
        <f>SUMPRODUCT((ISNUMBER(SEARCH($Y8,Dienstplan!$B$25:$B$36))*(ISNUMBER(SEARCH($AB$11,Dienstplan!$EZ$25:$GD$36)))))-$Q185</f>
        <v>0</v>
      </c>
      <c r="L185" s="302">
        <f>SUMPRODUCT((ISNUMBER(SEARCH($Y8,Dienstplan!$B$25:$B$36))*(ISNUMBER(SEARCH($AB$12,Dienstplan!$EZ$25:$GD$36)))))</f>
        <v>0</v>
      </c>
      <c r="M185" s="302">
        <f>SUMPRODUCT((ISNUMBER(SEARCH($Y8,Dienstplan!$B$25:$B$36))*(ISNUMBER(SEARCH($AB$13,Dienstplan!$EZ$25:$GD$36)))))</f>
        <v>0</v>
      </c>
      <c r="N185" s="302">
        <f>SUMPRODUCT((ISNUMBER(SEARCH($Y8,Dienstplan!$B$25:$B$36))*(ISNUMBER(SEARCH($AB$14,Dienstplan!$EZ$25:$GD$36)))))</f>
        <v>0</v>
      </c>
      <c r="O185" s="302">
        <f>SUMPRODUCT((ISNUMBER(SEARCH($Y8,Dienstplan!$B$25:$B$36))*(ISNUMBER(SEARCH($AB$15,Dienstplan!$EZ$25:$GD$36)))))</f>
        <v>0</v>
      </c>
      <c r="P185" s="302">
        <f>SUMPRODUCT((ISNUMBER(SEARCH($Y8,Dienstplan!$B$25:$B$36))*(ISNUMBER(SEARCH($AB$16,Dienstplan!$EZ$25:$GD$36)))))</f>
        <v>0</v>
      </c>
      <c r="Q185" s="302">
        <f>SUMPRODUCT((ISNUMBER(SEARCH($Y8,Dienstplan!$B$25:$B$36))*(ISNUMBER(SEARCH($AB$17,Dienstplan!$EZ$25:$GD$36)))))</f>
        <v>0</v>
      </c>
      <c r="R185" s="302">
        <f>SUMPRODUCT((ISNUMBER(SEARCH($Y8,Dienstplan!$B$25:$B$36))*(ISNUMBER(SEARCH($AB$18,Dienstplan!$EZ$25:$GD$36)))))</f>
        <v>0</v>
      </c>
      <c r="S185" s="308">
        <f>SUMPRODUCT((ISNUMBER(SEARCH($Y8,Dienstplan!$B$25:$B$36))*(ISNUMBER(SEARCH($AB$19,Dienstplan!$EZ$25:$GD$36)))))</f>
        <v>1</v>
      </c>
      <c r="T185" s="302">
        <f t="shared" si="73"/>
        <v>152</v>
      </c>
      <c r="U185" s="330">
        <f>SUM($C185*Frueh_1+$D185*Spaet_1+$E185*Nacht_1+$F185*Normal_1+$I185*Sonderd_1-$J185*Muster+$K185*Muster+$L185*EH_Kurs+$M185*Koor_taet+$N185*Sekre_1+$O185*Muster+$P185*Muster+$Q185*Muster+$R185*Muster+G185*Muster+H185*Muster)</f>
        <v>37.5</v>
      </c>
      <c r="V185" s="308">
        <f t="shared" si="74"/>
        <v>-114.5</v>
      </c>
      <c r="W185" s="318">
        <f t="shared" si="75"/>
        <v>-1103.75</v>
      </c>
    </row>
    <row r="186" ht="12.75" customHeight="1">
      <c r="A186" s="308"/>
      <c r="B186" s="329" t="str">
        <f t="shared" si="72"/>
        <v>Behrendt</v>
      </c>
      <c r="C186" s="302">
        <f>SUMPRODUCT((ISNUMBER(SEARCH($Y9,Dienstplan!$B$25:$B$36))*(ISNUMBER(SEARCH($AB$3,Dienstplan!$EZ$25:$GD$36)))))-D186</f>
        <v>0</v>
      </c>
      <c r="D186" s="302">
        <f>SUMPRODUCT((ISNUMBER(SEARCH($Y9,Dienstplan!$B$25:$B$36))*(ISNUMBER(SEARCH($AB$4,Dienstplan!$EZ$25:$GD$36)))))</f>
        <v>0</v>
      </c>
      <c r="E186" s="302">
        <f>SUMPRODUCT((ISNUMBER(SEARCH($Y9,Dienstplan!$B$25:$B$36))*(ISNUMBER(SEARCH($AB$5,Dienstplan!$EY$25:$GD$36)))))</f>
        <v>0</v>
      </c>
      <c r="F186" s="302">
        <f>SUMPRODUCT((ISNUMBER(SEARCH($Y9,Dienstplan!$B$25:$B$36))*(ISNUMBER(SEARCH($AB$6,Dienstplan!$EZ$25:$GD$36)))))</f>
        <v>0</v>
      </c>
      <c r="G186" s="302">
        <f>SUMPRODUCT((ISNUMBER(SEARCH($Y9,Dienstplan!$B$25:$B$36))*(ISNUMBER(SEARCH($AB$7,Dienstplan!$EZ$25:$GD$36)))))-H186</f>
        <v>0</v>
      </c>
      <c r="H186" s="302">
        <f>SUMPRODUCT((ISNUMBER(SEARCH($Y9,Dienstplan!$B$25:$B$36))*(ISNUMBER(SEARCH($AB$8,Dienstplan!$EZ$25:$GD$36)))))</f>
        <v>0</v>
      </c>
      <c r="I186" s="302">
        <f>SUMPRODUCT((ISNUMBER(SEARCH($Y9,Dienstplan!$B$25:$B$36))*(ISNUMBER(SEARCH($AB$9,Dienstplan!$EZ$25:$GD$36)))))</f>
        <v>0</v>
      </c>
      <c r="J186" s="302">
        <f>SUMPRODUCT((ISNUMBER(SEARCH($Y9,Dienstplan!$B$25:$B$36))*(ISNUMBER(SEARCH($AB$10,Dienstplan!$EZ$25:$GD$36)))))</f>
        <v>0</v>
      </c>
      <c r="K186" s="302">
        <f>SUMPRODUCT((ISNUMBER(SEARCH($Y9,Dienstplan!$B$25:$B$36))*(ISNUMBER(SEARCH($AB$11,Dienstplan!$EZ$25:$GD$36)))))-$Q186</f>
        <v>0</v>
      </c>
      <c r="L186" s="302">
        <f>SUMPRODUCT((ISNUMBER(SEARCH($Y9,Dienstplan!$B$25:$B$36))*(ISNUMBER(SEARCH($AB$12,Dienstplan!$EZ$25:$GD$36)))))</f>
        <v>0</v>
      </c>
      <c r="M186" s="302">
        <f>SUMPRODUCT((ISNUMBER(SEARCH($Y9,Dienstplan!$B$25:$B$36))*(ISNUMBER(SEARCH($AB$13,Dienstplan!$EZ$25:$GD$36)))))</f>
        <v>0</v>
      </c>
      <c r="N186" s="302">
        <f>SUMPRODUCT((ISNUMBER(SEARCH($Y9,Dienstplan!$B$25:$B$36))*(ISNUMBER(SEARCH($AB$14,Dienstplan!$EZ$25:$GD$36)))))</f>
        <v>0</v>
      </c>
      <c r="O186" s="302">
        <f>SUMPRODUCT((ISNUMBER(SEARCH($Y9,Dienstplan!$B$25:$B$36))*(ISNUMBER(SEARCH($AB$15,Dienstplan!$EZ$25:$GD$36)))))</f>
        <v>0</v>
      </c>
      <c r="P186" s="302">
        <f>SUMPRODUCT((ISNUMBER(SEARCH($Y9,Dienstplan!$B$25:$B$36))*(ISNUMBER(SEARCH($AB$16,Dienstplan!$EZ$25:$GD$36)))))</f>
        <v>0</v>
      </c>
      <c r="Q186" s="302">
        <f>SUMPRODUCT((ISNUMBER(SEARCH($Y9,Dienstplan!$B$25:$B$36))*(ISNUMBER(SEARCH($AB$17,Dienstplan!$EZ$25:$GD$36)))))</f>
        <v>0</v>
      </c>
      <c r="R186" s="302">
        <f>SUMPRODUCT((ISNUMBER(SEARCH($Y9,Dienstplan!$B$25:$B$36))*(ISNUMBER(SEARCH($AB$18,Dienstplan!$EZ$25:$GD$36)))))</f>
        <v>0</v>
      </c>
      <c r="S186" s="308">
        <f>SUMPRODUCT((ISNUMBER(SEARCH($Y9,Dienstplan!$B$25:$B$36))*(ISNUMBER(SEARCH($AB$19,Dienstplan!$EZ$25:$GD$36)))))</f>
        <v>0</v>
      </c>
      <c r="T186" s="302">
        <f t="shared" si="73"/>
        <v>133</v>
      </c>
      <c r="U186" s="330">
        <f>SUM($C186*Frueh_1+$D186*Spaet_1+$E186*Nacht_1+$F186*Normal_1+$I186*Sonderd_1-$J186*Muster+$K186*Muster+$L186*EH_Kurs+$M186*Koor_taet+$N186*Sekre_1+$O186*Muster+$P186*Muster+$Q186*Muster+$R186*Muster+G186*Muster+H186*Muster)</f>
        <v>0</v>
      </c>
      <c r="V186" s="308">
        <f t="shared" si="74"/>
        <v>-133</v>
      </c>
      <c r="W186" s="318">
        <f t="shared" si="75"/>
        <v>-974.45</v>
      </c>
    </row>
    <row r="187" ht="12.75" customHeight="1">
      <c r="A187" s="308"/>
      <c r="B187" s="329" t="str">
        <f t="shared" si="72"/>
        <v>Krempl</v>
      </c>
      <c r="C187" s="302">
        <f>SUMPRODUCT((ISNUMBER(SEARCH($Y10,Dienstplan!$B$25:$B$36))*(ISNUMBER(SEARCH($AB$3,Dienstplan!$EZ$25:$GD$36)))))-D187</f>
        <v>0</v>
      </c>
      <c r="D187" s="302">
        <f>SUMPRODUCT((ISNUMBER(SEARCH($Y10,Dienstplan!$B$25:$B$36))*(ISNUMBER(SEARCH($AB$4,Dienstplan!$EZ$25:$GD$36)))))</f>
        <v>0</v>
      </c>
      <c r="E187" s="302">
        <f>SUMPRODUCT((ISNUMBER(SEARCH($Y10,Dienstplan!$B$25:$B$36))*(ISNUMBER(SEARCH($AB$5,Dienstplan!$EY$25:$GD$36)))))</f>
        <v>0</v>
      </c>
      <c r="F187" s="302">
        <f>SUMPRODUCT((ISNUMBER(SEARCH($Y10,Dienstplan!$B$25:$B$36))*(ISNUMBER(SEARCH($AB$6,Dienstplan!$EZ$25:$GD$36)))))</f>
        <v>0</v>
      </c>
      <c r="G187" s="302">
        <f>SUMPRODUCT((ISNUMBER(SEARCH($Y10,Dienstplan!$B$25:$B$36))*(ISNUMBER(SEARCH($AB$7,Dienstplan!$EZ$25:$GD$36)))))-H187</f>
        <v>0</v>
      </c>
      <c r="H187" s="302">
        <f>SUMPRODUCT((ISNUMBER(SEARCH($Y10,Dienstplan!$B$25:$B$36))*(ISNUMBER(SEARCH($AB$8,Dienstplan!$EZ$25:$GD$36)))))</f>
        <v>0</v>
      </c>
      <c r="I187" s="302">
        <f>SUMPRODUCT((ISNUMBER(SEARCH($Y10,Dienstplan!$B$25:$B$36))*(ISNUMBER(SEARCH($AB$9,Dienstplan!$EZ$25:$GD$36)))))</f>
        <v>0</v>
      </c>
      <c r="J187" s="302">
        <f>SUMPRODUCT((ISNUMBER(SEARCH($Y10,Dienstplan!$B$25:$B$36))*(ISNUMBER(SEARCH($AB$10,Dienstplan!$EZ$25:$GD$36)))))</f>
        <v>0</v>
      </c>
      <c r="K187" s="302">
        <f>SUMPRODUCT((ISNUMBER(SEARCH($Y10,Dienstplan!$B$25:$B$36))*(ISNUMBER(SEARCH($AB$11,Dienstplan!$EZ$25:$GD$36)))))-$Q187</f>
        <v>6</v>
      </c>
      <c r="L187" s="302">
        <f>SUMPRODUCT((ISNUMBER(SEARCH($Y10,Dienstplan!$B$25:$B$36))*(ISNUMBER(SEARCH($AB$12,Dienstplan!$EZ$25:$GD$36)))))</f>
        <v>0</v>
      </c>
      <c r="M187" s="302">
        <f>SUMPRODUCT((ISNUMBER(SEARCH($Y10,Dienstplan!$B$25:$B$36))*(ISNUMBER(SEARCH($AB$13,Dienstplan!$EZ$25:$GD$36)))))</f>
        <v>0</v>
      </c>
      <c r="N187" s="302">
        <f>SUMPRODUCT((ISNUMBER(SEARCH($Y10,Dienstplan!$B$25:$B$36))*(ISNUMBER(SEARCH($AB$14,Dienstplan!$EZ$25:$GD$36)))))</f>
        <v>0</v>
      </c>
      <c r="O187" s="302">
        <f>SUMPRODUCT((ISNUMBER(SEARCH($Y10,Dienstplan!$B$25:$B$36))*(ISNUMBER(SEARCH($AB$15,Dienstplan!$EZ$25:$GD$36)))))</f>
        <v>0</v>
      </c>
      <c r="P187" s="302">
        <f>SUMPRODUCT((ISNUMBER(SEARCH($Y10,Dienstplan!$B$25:$B$36))*(ISNUMBER(SEARCH($AB$16,Dienstplan!$EZ$25:$GD$36)))))</f>
        <v>0</v>
      </c>
      <c r="Q187" s="302">
        <f>SUMPRODUCT((ISNUMBER(SEARCH($Y10,Dienstplan!$B$25:$B$36))*(ISNUMBER(SEARCH($AB$17,Dienstplan!$EZ$25:$GD$36)))))</f>
        <v>0</v>
      </c>
      <c r="R187" s="302">
        <f>SUMPRODUCT((ISNUMBER(SEARCH($Y10,Dienstplan!$B$25:$B$36))*(ISNUMBER(SEARCH($AB$18,Dienstplan!$EZ$25:$GD$36)))))</f>
        <v>0</v>
      </c>
      <c r="S187" s="308">
        <f>SUMPRODUCT((ISNUMBER(SEARCH($Y10,Dienstplan!$B$25:$B$36))*(ISNUMBER(SEARCH($AB$19,Dienstplan!$EZ$25:$GD$36)))))</f>
        <v>0</v>
      </c>
      <c r="T187" s="302">
        <f t="shared" si="73"/>
        <v>60.8</v>
      </c>
      <c r="U187" s="330">
        <f>SUM($C187*Frueh_1+$D187*Spaet_1+$E187*Nacht_1+$F187*Normal_1+$I187*Sonderd_1-$J187*Krem_E+$K187*Krem_E+$L187*EH_Kurs+$M187*Koor_taet+$N187*Sekre_1+$O187*Krem_E+$R187*Krem_E+$P187*Krem_E+$Q187*Krem_E+G187*Krem_E+H187*Krem_E)</f>
        <v>19.2</v>
      </c>
      <c r="V187" s="308">
        <f t="shared" si="74"/>
        <v>-41.6</v>
      </c>
      <c r="W187" s="318">
        <f t="shared" si="75"/>
        <v>-627.1</v>
      </c>
    </row>
    <row r="188" ht="12.75" customHeight="1">
      <c r="A188" s="308"/>
      <c r="B188" s="329" t="str">
        <f t="shared" si="72"/>
        <v>Putschler</v>
      </c>
      <c r="C188" s="302">
        <f>SUMPRODUCT((ISNUMBER(SEARCH($Y11,Dienstplan!$B$25:$B$36))*(ISNUMBER(SEARCH($AB$3,Dienstplan!$EZ$25:$GD$36)))))-D188</f>
        <v>0</v>
      </c>
      <c r="D188" s="302">
        <f>SUMPRODUCT((ISNUMBER(SEARCH($Y11,Dienstplan!$B$25:$B$36))*(ISNUMBER(SEARCH($AB$4,Dienstplan!$EZ$25:$GD$36)))))</f>
        <v>0</v>
      </c>
      <c r="E188" s="302">
        <f>SUMPRODUCT((ISNUMBER(SEARCH($Y11,Dienstplan!$B$25:$B$36))*(ISNUMBER(SEARCH($AB$5,Dienstplan!$EY$25:$GD$36)))))</f>
        <v>0</v>
      </c>
      <c r="F188" s="302">
        <f>SUMPRODUCT((ISNUMBER(SEARCH($Y11,Dienstplan!$B$25:$B$36))*(ISNUMBER(SEARCH($AB$6,Dienstplan!$EZ$25:$GD$36)))))</f>
        <v>0</v>
      </c>
      <c r="G188" s="302">
        <f>SUMPRODUCT((ISNUMBER(SEARCH($Y11,Dienstplan!$B$25:$B$36))*(ISNUMBER(SEARCH($AB$7,Dienstplan!$EZ$25:$GD$36)))))-H188</f>
        <v>0</v>
      </c>
      <c r="H188" s="302">
        <f>SUMPRODUCT((ISNUMBER(SEARCH($Y11,Dienstplan!$B$25:$B$36))*(ISNUMBER(SEARCH($AB$8,Dienstplan!$EZ$25:$GD$36)))))</f>
        <v>0</v>
      </c>
      <c r="I188" s="302">
        <f>SUMPRODUCT((ISNUMBER(SEARCH($Y11,Dienstplan!$B$25:$B$36))*(ISNUMBER(SEARCH($AB$9,Dienstplan!$EZ$25:$GD$36)))))</f>
        <v>0</v>
      </c>
      <c r="J188" s="302">
        <f>SUMPRODUCT((ISNUMBER(SEARCH($Y11,Dienstplan!$B$25:$B$36))*(ISNUMBER(SEARCH($AB$10,Dienstplan!$EZ$25:$GD$36)))))</f>
        <v>0</v>
      </c>
      <c r="K188" s="302">
        <f>SUMPRODUCT((ISNUMBER(SEARCH($Y11,Dienstplan!$B$25:$B$36))*(ISNUMBER(SEARCH($AB$11,Dienstplan!$EZ$25:$GD$36)))))-$Q188</f>
        <v>6</v>
      </c>
      <c r="L188" s="302">
        <f>SUMPRODUCT((ISNUMBER(SEARCH($Y11,Dienstplan!$B$25:$B$36))*(ISNUMBER(SEARCH($AB$12,Dienstplan!$EZ$25:$GD$36)))))</f>
        <v>0</v>
      </c>
      <c r="M188" s="302">
        <f>SUMPRODUCT((ISNUMBER(SEARCH($Y11,Dienstplan!$B$25:$B$36))*(ISNUMBER(SEARCH($AB$13,Dienstplan!$EZ$25:$GD$36)))))</f>
        <v>0</v>
      </c>
      <c r="N188" s="302">
        <f>SUMPRODUCT((ISNUMBER(SEARCH($Y11,Dienstplan!$B$25:$B$36))*(ISNUMBER(SEARCH($AB$14,Dienstplan!$EZ$25:$GD$36)))))</f>
        <v>0</v>
      </c>
      <c r="O188" s="302">
        <f>SUMPRODUCT((ISNUMBER(SEARCH($Y11,Dienstplan!$B$25:$B$36))*(ISNUMBER(SEARCH($AB$15,Dienstplan!$EZ$25:$GD$36)))))</f>
        <v>0</v>
      </c>
      <c r="P188" s="302">
        <f>SUMPRODUCT((ISNUMBER(SEARCH($Y11,Dienstplan!$B$25:$B$36))*(ISNUMBER(SEARCH($AB$16,Dienstplan!$EZ$25:$GD$36)))))</f>
        <v>0</v>
      </c>
      <c r="Q188" s="302">
        <f>SUMPRODUCT((ISNUMBER(SEARCH($Y11,Dienstplan!$B$25:$B$36))*(ISNUMBER(SEARCH($AB$17,Dienstplan!$EZ$25:$GD$36)))))</f>
        <v>0</v>
      </c>
      <c r="R188" s="302">
        <f>SUMPRODUCT((ISNUMBER(SEARCH($Y11,Dienstplan!$B$25:$B$36))*(ISNUMBER(SEARCH($AB$18,Dienstplan!$EZ$25:$GD$36)))))</f>
        <v>0</v>
      </c>
      <c r="S188" s="308">
        <f>SUMPRODUCT((ISNUMBER(SEARCH($Y11,Dienstplan!$B$25:$B$36))*(ISNUMBER(SEARCH($AB$19,Dienstplan!$EZ$25:$GD$36)))))</f>
        <v>0</v>
      </c>
      <c r="T188" s="302">
        <f t="shared" si="73"/>
        <v>152</v>
      </c>
      <c r="U188" s="330">
        <f>SUM($C188*Frueh_1+$D188*Spaet_1+$E188*Nacht_1+$F188*Normal_1+$I188*Sonderd_1-$J188*Put_W+$K188*Put_W+$L188*EH_Kurs+$M188*Koor_taet+$N188*Sekre_1+$O188*Put_W+$R188*Put_W+$P188*Put_W+$Q188*Put_W+G188*Put_W+H188*Put_W)</f>
        <v>48</v>
      </c>
      <c r="V188" s="308">
        <f t="shared" si="74"/>
        <v>-104</v>
      </c>
      <c r="W188" s="318">
        <f t="shared" si="75"/>
        <v>-1368</v>
      </c>
    </row>
    <row r="189" ht="12.75" customHeight="1">
      <c r="A189" s="308"/>
      <c r="B189" s="329" t="str">
        <f t="shared" si="72"/>
        <v>Schmidt</v>
      </c>
      <c r="C189" s="302">
        <f>SUMPRODUCT((ISNUMBER(SEARCH($Y12,Dienstplan!$B$25:$B$36))*(ISNUMBER(SEARCH($AB$3,Dienstplan!$EZ$25:$GD$36)))))-D189</f>
        <v>0</v>
      </c>
      <c r="D189" s="302">
        <f>SUMPRODUCT((ISNUMBER(SEARCH($Y12,Dienstplan!$B$25:$B$36))*(ISNUMBER(SEARCH($AB$4,Dienstplan!$EZ$25:$GD$36)))))</f>
        <v>0</v>
      </c>
      <c r="E189" s="302">
        <f>SUMPRODUCT((ISNUMBER(SEARCH($Y12,Dienstplan!$B$25:$B$36))*(ISNUMBER(SEARCH($AB$5,Dienstplan!$EY$25:$GD$36)))))</f>
        <v>0</v>
      </c>
      <c r="F189" s="302">
        <f>SUMPRODUCT((ISNUMBER(SEARCH($Y12,Dienstplan!$B$25:$B$36))*(ISNUMBER(SEARCH($AB$6,Dienstplan!$EZ$25:$GD$36)))))</f>
        <v>0</v>
      </c>
      <c r="G189" s="302">
        <f>SUMPRODUCT((ISNUMBER(SEARCH($Y12,Dienstplan!$B$25:$B$36))*(ISNUMBER(SEARCH($AB$7,Dienstplan!$EZ$25:$GD$36)))))-H189</f>
        <v>0</v>
      </c>
      <c r="H189" s="302">
        <f>SUMPRODUCT((ISNUMBER(SEARCH($Y12,Dienstplan!$B$25:$B$36))*(ISNUMBER(SEARCH($AB$8,Dienstplan!$EZ$25:$GD$36)))))</f>
        <v>0</v>
      </c>
      <c r="I189" s="302">
        <f>SUMPRODUCT((ISNUMBER(SEARCH($Y12,Dienstplan!$B$25:$B$36))*(ISNUMBER(SEARCH($AB$9,Dienstplan!$EZ$25:$GD$36)))))</f>
        <v>0</v>
      </c>
      <c r="J189" s="302">
        <f>SUMPRODUCT((ISNUMBER(SEARCH($Y12,Dienstplan!$B$25:$B$36))*(ISNUMBER(SEARCH($AB$10,Dienstplan!$EZ$25:$GD$36)))))</f>
        <v>0</v>
      </c>
      <c r="K189" s="302">
        <f>SUMPRODUCT((ISNUMBER(SEARCH($Y12,Dienstplan!$B$25:$B$36))*(ISNUMBER(SEARCH($AB$11,Dienstplan!$EZ$25:$GD$36)))))-$Q189</f>
        <v>1</v>
      </c>
      <c r="L189" s="302">
        <f>SUMPRODUCT((ISNUMBER(SEARCH($Y12,Dienstplan!$B$25:$B$36))*(ISNUMBER(SEARCH($AB$12,Dienstplan!$EZ$25:$GD$36)))))</f>
        <v>0</v>
      </c>
      <c r="M189" s="302">
        <f>SUMPRODUCT((ISNUMBER(SEARCH($Y12,Dienstplan!$B$25:$B$36))*(ISNUMBER(SEARCH($AB$13,Dienstplan!$EZ$25:$GD$36)))))</f>
        <v>0</v>
      </c>
      <c r="N189" s="302">
        <f>SUMPRODUCT((ISNUMBER(SEARCH($Y12,Dienstplan!$B$25:$B$36))*(ISNUMBER(SEARCH($AB$14,Dienstplan!$EZ$25:$GD$36)))))</f>
        <v>0</v>
      </c>
      <c r="O189" s="302">
        <f>SUMPRODUCT((ISNUMBER(SEARCH($Y12,Dienstplan!$B$25:$B$36))*(ISNUMBER(SEARCH($AB$15,Dienstplan!$EZ$25:$GD$36)))))</f>
        <v>0</v>
      </c>
      <c r="P189" s="302">
        <f>SUMPRODUCT((ISNUMBER(SEARCH($Y12,Dienstplan!$B$25:$B$36))*(ISNUMBER(SEARCH($AB$16,Dienstplan!$EZ$25:$GD$36)))))</f>
        <v>0</v>
      </c>
      <c r="Q189" s="302">
        <f>SUMPRODUCT((ISNUMBER(SEARCH($Y12,Dienstplan!$B$25:$B$36))*(ISNUMBER(SEARCH($AB$17,Dienstplan!$EZ$25:$GD$36)))))</f>
        <v>0</v>
      </c>
      <c r="R189" s="302">
        <f>SUMPRODUCT((ISNUMBER(SEARCH($Y12,Dienstplan!$B$25:$B$36))*(ISNUMBER(SEARCH($AB$18,Dienstplan!$EZ$25:$GD$36)))))</f>
        <v>0</v>
      </c>
      <c r="S189" s="308">
        <f>SUMPRODUCT((ISNUMBER(SEARCH($Y12,Dienstplan!$B$25:$B$36))*(ISNUMBER(SEARCH($AB$19,Dienstplan!$EZ$25:$GD$36)))))</f>
        <v>0</v>
      </c>
      <c r="T189" s="302">
        <f t="shared" si="73"/>
        <v>133</v>
      </c>
      <c r="U189" s="330">
        <f>SUM($C189*Frueh_1+$D189*Spaet_1+$E189*Nacht_1+$F189*Normal_1+$I189*Sonderd_1-$J189*Radi_L+$K189*Radi_L+$L189*EH_Kurs+$M189*Koor_taet+$N189*Sekre_1+$O189*Radi_L+$R189*Radi_L+$P189*Radi_L+$Q189*Radi_L+G189*Radi_L+H189*Radi_L)</f>
        <v>7</v>
      </c>
      <c r="V189" s="308">
        <f t="shared" si="74"/>
        <v>-126</v>
      </c>
      <c r="W189" s="318">
        <f t="shared" si="75"/>
        <v>-1470</v>
      </c>
    </row>
    <row r="190" ht="12.75" customHeight="1">
      <c r="A190" s="308"/>
      <c r="B190" s="329" t="str">
        <f t="shared" si="72"/>
        <v>Radimersky</v>
      </c>
      <c r="C190" s="302">
        <f>SUMPRODUCT((ISNUMBER(SEARCH($Y13,Dienstplan!$B$25:$B$36))*(ISNUMBER(SEARCH($AB$3,Dienstplan!$EZ$25:$GD$36)))))-D190</f>
        <v>0</v>
      </c>
      <c r="D190" s="302">
        <f>SUMPRODUCT((ISNUMBER(SEARCH($Y13,Dienstplan!$B$25:$B$36))*(ISNUMBER(SEARCH($AB$4,Dienstplan!$EZ$25:$GD$36)))))</f>
        <v>0</v>
      </c>
      <c r="E190" s="302">
        <f>SUMPRODUCT((ISNUMBER(SEARCH($Y13,Dienstplan!$B$25:$B$36))*(ISNUMBER(SEARCH($AB$5,Dienstplan!$EY$25:$GD$36)))))</f>
        <v>0</v>
      </c>
      <c r="F190" s="302">
        <f>SUMPRODUCT((ISNUMBER(SEARCH($Y13,Dienstplan!$B$25:$B$36))*(ISNUMBER(SEARCH($AB$6,Dienstplan!$EZ$25:$GD$36)))))</f>
        <v>0</v>
      </c>
      <c r="G190" s="302">
        <f>SUMPRODUCT((ISNUMBER(SEARCH($Y13,Dienstplan!$B$25:$B$36))*(ISNUMBER(SEARCH($AB$7,Dienstplan!$EZ$25:$GD$36)))))-H190</f>
        <v>0</v>
      </c>
      <c r="H190" s="302">
        <f>SUMPRODUCT((ISNUMBER(SEARCH($Y13,Dienstplan!$B$25:$B$36))*(ISNUMBER(SEARCH($AB$8,Dienstplan!$EZ$25:$GD$36)))))</f>
        <v>0</v>
      </c>
      <c r="I190" s="302">
        <f>SUMPRODUCT((ISNUMBER(SEARCH($Y13,Dienstplan!$B$25:$B$36))*(ISNUMBER(SEARCH($AB$9,Dienstplan!$EZ$25:$GD$36)))))</f>
        <v>0</v>
      </c>
      <c r="J190" s="302">
        <f>SUMPRODUCT((ISNUMBER(SEARCH($Y13,Dienstplan!$B$25:$B$36))*(ISNUMBER(SEARCH($AB$10,Dienstplan!$EZ$25:$GD$36)))))</f>
        <v>0</v>
      </c>
      <c r="K190" s="302">
        <f>SUMPRODUCT((ISNUMBER(SEARCH($Y13,Dienstplan!$B$25:$B$36))*(ISNUMBER(SEARCH($AB$11,Dienstplan!$EZ$25:$GD$36)))))-$Q190</f>
        <v>0</v>
      </c>
      <c r="L190" s="302">
        <f>SUMPRODUCT((ISNUMBER(SEARCH($Y13,Dienstplan!$B$25:$B$36))*(ISNUMBER(SEARCH($AB$12,Dienstplan!$EZ$25:$GD$36)))))</f>
        <v>0</v>
      </c>
      <c r="M190" s="302">
        <f>SUMPRODUCT((ISNUMBER(SEARCH($Y13,Dienstplan!$B$25:$B$36))*(ISNUMBER(SEARCH($AB$13,Dienstplan!$EZ$25:$GD$36)))))</f>
        <v>0</v>
      </c>
      <c r="N190" s="302">
        <f>SUMPRODUCT((ISNUMBER(SEARCH($Y13,Dienstplan!$B$25:$B$36))*(ISNUMBER(SEARCH($AB$14,Dienstplan!$EZ$25:$GD$36)))))</f>
        <v>0</v>
      </c>
      <c r="O190" s="302">
        <f>SUMPRODUCT((ISNUMBER(SEARCH($Y13,Dienstplan!$B$25:$B$36))*(ISNUMBER(SEARCH($AB$15,Dienstplan!$EZ$25:$GD$36)))))</f>
        <v>0</v>
      </c>
      <c r="P190" s="302">
        <f>SUMPRODUCT((ISNUMBER(SEARCH($Y13,Dienstplan!$B$25:$B$36))*(ISNUMBER(SEARCH($AB$16,Dienstplan!$EZ$25:$GD$36)))))</f>
        <v>0</v>
      </c>
      <c r="Q190" s="302">
        <f>SUMPRODUCT((ISNUMBER(SEARCH($Y13,Dienstplan!$B$25:$B$36))*(ISNUMBER(SEARCH($AB$17,Dienstplan!$EZ$25:$GD$36)))))</f>
        <v>0</v>
      </c>
      <c r="R190" s="302">
        <f>SUMPRODUCT((ISNUMBER(SEARCH($Y13,Dienstplan!$B$25:$B$36))*(ISNUMBER(SEARCH($AB$18,Dienstplan!$EZ$25:$GD$36)))))</f>
        <v>0</v>
      </c>
      <c r="S190" s="308">
        <f>SUMPRODUCT((ISNUMBER(SEARCH($Y13,Dienstplan!$B$25:$B$36))*(ISNUMBER(SEARCH($AB$19,Dienstplan!$EZ$25:$GD$36)))))</f>
        <v>0</v>
      </c>
      <c r="T190" s="302">
        <f t="shared" si="73"/>
        <v>57</v>
      </c>
      <c r="U190" s="330">
        <f>SUM($C190*Frueh_1+$D190*Spaet_1+$E190*Nacht_1+$F190*Normal_1+$I190*Sonderd_1-$J190*Fortenb+$K190*Fortenb+$L190*EH_Kurs+$M190*Koor_taet+$N190*Sekre_1+$O190*Fortenb+$R190*Fortenb+$P190*Fortenb+$Q190*Fortenb+G190*Fortenb+H190*Fortenb)</f>
        <v>0</v>
      </c>
      <c r="V190" s="308">
        <f t="shared" si="74"/>
        <v>-57</v>
      </c>
      <c r="W190" s="318">
        <f t="shared" si="75"/>
        <v>-624</v>
      </c>
    </row>
    <row r="191" ht="12.75" customHeight="1">
      <c r="A191" s="308"/>
      <c r="B191" s="329"/>
      <c r="S191" s="308"/>
      <c r="V191" s="308"/>
      <c r="W191" s="318"/>
    </row>
    <row r="192" ht="12.75" customHeight="1">
      <c r="A192" s="308"/>
      <c r="B192" s="329" t="s">
        <v>134</v>
      </c>
      <c r="C192" s="303">
        <f t="shared" ref="C192:S192" si="76">SUM(C180:C191)</f>
        <v>0</v>
      </c>
      <c r="D192" s="303">
        <f t="shared" si="76"/>
        <v>0</v>
      </c>
      <c r="E192" s="303">
        <f t="shared" si="76"/>
        <v>-2</v>
      </c>
      <c r="F192" s="303">
        <f t="shared" si="76"/>
        <v>17</v>
      </c>
      <c r="G192" s="303">
        <f t="shared" si="76"/>
        <v>0</v>
      </c>
      <c r="H192" s="303">
        <f t="shared" si="76"/>
        <v>0</v>
      </c>
      <c r="I192" s="303">
        <f t="shared" si="76"/>
        <v>0</v>
      </c>
      <c r="J192" s="303">
        <f t="shared" si="76"/>
        <v>0</v>
      </c>
      <c r="K192" s="303">
        <f t="shared" si="76"/>
        <v>27</v>
      </c>
      <c r="L192" s="303">
        <f t="shared" si="76"/>
        <v>0</v>
      </c>
      <c r="M192" s="303">
        <f t="shared" si="76"/>
        <v>0</v>
      </c>
      <c r="N192" s="303">
        <f t="shared" si="76"/>
        <v>0</v>
      </c>
      <c r="O192" s="303">
        <f t="shared" si="76"/>
        <v>0</v>
      </c>
      <c r="P192" s="303">
        <f t="shared" si="76"/>
        <v>0</v>
      </c>
      <c r="Q192" s="303">
        <f t="shared" si="76"/>
        <v>0</v>
      </c>
      <c r="R192" s="303">
        <f t="shared" si="76"/>
        <v>0</v>
      </c>
      <c r="S192" s="323">
        <f t="shared" si="76"/>
        <v>3</v>
      </c>
      <c r="T192" s="303">
        <f t="shared" ref="T192:U192" si="77">SUM(T180:T188)</f>
        <v>1200.8</v>
      </c>
      <c r="U192" s="303">
        <f t="shared" si="77"/>
        <v>293.7</v>
      </c>
      <c r="V192" s="323"/>
      <c r="W192" s="324"/>
    </row>
    <row r="193" ht="12.75" customHeight="1">
      <c r="A193" s="308"/>
      <c r="B193" s="309"/>
      <c r="C193" s="300"/>
      <c r="D193" s="300"/>
      <c r="E193" s="300"/>
      <c r="F193" s="300"/>
      <c r="G193" s="300"/>
      <c r="H193" s="300"/>
      <c r="I193" s="300"/>
      <c r="J193" s="300"/>
      <c r="K193" s="300"/>
      <c r="L193" s="300"/>
      <c r="M193" s="300"/>
      <c r="N193" s="300"/>
      <c r="O193" s="300"/>
      <c r="P193" s="300"/>
      <c r="Q193" s="300"/>
      <c r="R193" s="300"/>
      <c r="S193" s="309"/>
      <c r="T193" s="300"/>
      <c r="U193" s="300"/>
      <c r="V193" s="309"/>
      <c r="W193" s="310"/>
    </row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D2:E2"/>
    <mergeCell ref="I2:J2"/>
    <mergeCell ref="D18:E18"/>
    <mergeCell ref="I18:J18"/>
    <mergeCell ref="Y21:AB21"/>
    <mergeCell ref="Y22:Z22"/>
    <mergeCell ref="AA22:AB22"/>
    <mergeCell ref="Y23:Z23"/>
    <mergeCell ref="AA23:AB23"/>
    <mergeCell ref="Y24:Z24"/>
    <mergeCell ref="AA24:AB24"/>
    <mergeCell ref="Y25:Z25"/>
    <mergeCell ref="AA25:AB25"/>
    <mergeCell ref="I34:J34"/>
    <mergeCell ref="D34:E34"/>
    <mergeCell ref="D50:E50"/>
    <mergeCell ref="I50:J50"/>
    <mergeCell ref="D66:E66"/>
    <mergeCell ref="I66:J66"/>
    <mergeCell ref="D82:E82"/>
    <mergeCell ref="I82:J82"/>
    <mergeCell ref="D146:E146"/>
    <mergeCell ref="D162:E162"/>
    <mergeCell ref="I162:J162"/>
    <mergeCell ref="D178:E178"/>
    <mergeCell ref="I178:J178"/>
    <mergeCell ref="D98:E98"/>
    <mergeCell ref="I98:J98"/>
    <mergeCell ref="D114:E114"/>
    <mergeCell ref="I114:J114"/>
    <mergeCell ref="D130:E130"/>
    <mergeCell ref="I130:J130"/>
    <mergeCell ref="I146:J146"/>
  </mergeCells>
  <conditionalFormatting sqref="F16:H16 N16">
    <cfRule type="cellIs" dxfId="0" priority="1" stopIfTrue="1" operator="lessThan">
      <formula>$F$2</formula>
    </cfRule>
  </conditionalFormatting>
  <conditionalFormatting sqref="F16:H16 N16">
    <cfRule type="cellIs" dxfId="1" priority="2" stopIfTrue="1" operator="equal">
      <formula>$F$2</formula>
    </cfRule>
  </conditionalFormatting>
  <conditionalFormatting sqref="F16:H16 N16">
    <cfRule type="cellIs" dxfId="2" priority="3" stopIfTrue="1" operator="greaterThan">
      <formula>$F$2</formula>
    </cfRule>
  </conditionalFormatting>
  <conditionalFormatting sqref="F32:H32 N32">
    <cfRule type="cellIs" dxfId="0" priority="4" stopIfTrue="1" operator="lessThan">
      <formula>$F$18</formula>
    </cfRule>
  </conditionalFormatting>
  <conditionalFormatting sqref="F32:H32 N32">
    <cfRule type="cellIs" dxfId="1" priority="5" stopIfTrue="1" operator="equal">
      <formula>$F$18</formula>
    </cfRule>
  </conditionalFormatting>
  <conditionalFormatting sqref="F32:H32 N32">
    <cfRule type="cellIs" dxfId="2" priority="6" stopIfTrue="1" operator="greaterThan">
      <formula>$F$18</formula>
    </cfRule>
  </conditionalFormatting>
  <conditionalFormatting sqref="F48:H48 N48">
    <cfRule type="cellIs" dxfId="0" priority="7" stopIfTrue="1" operator="lessThan">
      <formula>$F$34</formula>
    </cfRule>
  </conditionalFormatting>
  <conditionalFormatting sqref="F48:H48 N48">
    <cfRule type="cellIs" dxfId="1" priority="8" stopIfTrue="1" operator="equal">
      <formula>$F$34</formula>
    </cfRule>
  </conditionalFormatting>
  <conditionalFormatting sqref="F48:H48 N48">
    <cfRule type="cellIs" dxfId="2" priority="9" stopIfTrue="1" operator="greaterThan">
      <formula>$F$34</formula>
    </cfRule>
  </conditionalFormatting>
  <conditionalFormatting sqref="F64:H64 F80:H80 N80">
    <cfRule type="cellIs" dxfId="0" priority="10" stopIfTrue="1" operator="lessThan">
      <formula>$F$66</formula>
    </cfRule>
  </conditionalFormatting>
  <conditionalFormatting sqref="F64:H64 F80:H80 N80">
    <cfRule type="cellIs" dxfId="1" priority="11" stopIfTrue="1" operator="equal">
      <formula>$F$66</formula>
    </cfRule>
  </conditionalFormatting>
  <conditionalFormatting sqref="F64:H64 F80:H80 N80">
    <cfRule type="cellIs" dxfId="2" priority="12" stopIfTrue="1" operator="greaterThan">
      <formula>$F$66</formula>
    </cfRule>
  </conditionalFormatting>
  <conditionalFormatting sqref="F96:H96 N96">
    <cfRule type="cellIs" dxfId="0" priority="13" stopIfTrue="1" operator="lessThan">
      <formula>$F$82</formula>
    </cfRule>
  </conditionalFormatting>
  <conditionalFormatting sqref="F96:H96 N96">
    <cfRule type="cellIs" dxfId="1" priority="14" stopIfTrue="1" operator="equal">
      <formula>$F$82</formula>
    </cfRule>
  </conditionalFormatting>
  <conditionalFormatting sqref="F96:H96 N96">
    <cfRule type="cellIs" dxfId="2" priority="15" stopIfTrue="1" operator="greaterThan">
      <formula>$F$82</formula>
    </cfRule>
  </conditionalFormatting>
  <conditionalFormatting sqref="F112:H112 N112">
    <cfRule type="cellIs" dxfId="0" priority="16" stopIfTrue="1" operator="lessThan">
      <formula>$F$98</formula>
    </cfRule>
  </conditionalFormatting>
  <conditionalFormatting sqref="F112:H112 N112">
    <cfRule type="cellIs" dxfId="1" priority="17" stopIfTrue="1" operator="equal">
      <formula>$F$98</formula>
    </cfRule>
  </conditionalFormatting>
  <conditionalFormatting sqref="F112:H112 N112">
    <cfRule type="cellIs" dxfId="2" priority="18" stopIfTrue="1" operator="greaterThan">
      <formula>$F$98</formula>
    </cfRule>
  </conditionalFormatting>
  <conditionalFormatting sqref="F144:H144 N144">
    <cfRule type="cellIs" dxfId="0" priority="19" stopIfTrue="1" operator="lessThan">
      <formula>$F$130</formula>
    </cfRule>
  </conditionalFormatting>
  <conditionalFormatting sqref="F144:H144 N144">
    <cfRule type="cellIs" dxfId="1" priority="20" stopIfTrue="1" operator="equal">
      <formula>$F$130</formula>
    </cfRule>
  </conditionalFormatting>
  <conditionalFormatting sqref="F144:H144 N144">
    <cfRule type="cellIs" dxfId="2" priority="21" stopIfTrue="1" operator="greaterThan">
      <formula>$F$130</formula>
    </cfRule>
  </conditionalFormatting>
  <conditionalFormatting sqref="F160:H160 N160">
    <cfRule type="cellIs" dxfId="0" priority="22" stopIfTrue="1" operator="lessThan">
      <formula>$F$146</formula>
    </cfRule>
  </conditionalFormatting>
  <conditionalFormatting sqref="F160:H160 N160">
    <cfRule type="cellIs" dxfId="1" priority="23" stopIfTrue="1" operator="equal">
      <formula>$F$146</formula>
    </cfRule>
  </conditionalFormatting>
  <conditionalFormatting sqref="F160:H160 N160">
    <cfRule type="cellIs" dxfId="2" priority="24" stopIfTrue="1" operator="greaterThan">
      <formula>$F$146</formula>
    </cfRule>
  </conditionalFormatting>
  <conditionalFormatting sqref="F176:H176 N176">
    <cfRule type="cellIs" dxfId="0" priority="25" stopIfTrue="1" operator="lessThan">
      <formula>$F$162</formula>
    </cfRule>
  </conditionalFormatting>
  <conditionalFormatting sqref="F176:H176 N176">
    <cfRule type="cellIs" dxfId="1" priority="26" stopIfTrue="1" operator="equal">
      <formula>$F$162</formula>
    </cfRule>
  </conditionalFormatting>
  <conditionalFormatting sqref="F176:H176 N176">
    <cfRule type="cellIs" dxfId="2" priority="27" stopIfTrue="1" operator="greaterThan">
      <formula>$F$162</formula>
    </cfRule>
  </conditionalFormatting>
  <conditionalFormatting sqref="F192:H192 N192">
    <cfRule type="cellIs" dxfId="0" priority="28" stopIfTrue="1" operator="lessThan">
      <formula>$F$178</formula>
    </cfRule>
  </conditionalFormatting>
  <conditionalFormatting sqref="F192:H192 N192">
    <cfRule type="cellIs" dxfId="1" priority="29" stopIfTrue="1" operator="equal">
      <formula>$F$178</formula>
    </cfRule>
  </conditionalFormatting>
  <conditionalFormatting sqref="F192:H192 N192">
    <cfRule type="cellIs" dxfId="2" priority="30" stopIfTrue="1" operator="greaterThan">
      <formula>$F$178</formula>
    </cfRule>
  </conditionalFormatting>
  <conditionalFormatting sqref="C16:E16">
    <cfRule type="cellIs" dxfId="0" priority="31" stopIfTrue="1" operator="lessThan">
      <formula>$F$2+$K$2</formula>
    </cfRule>
  </conditionalFormatting>
  <conditionalFormatting sqref="C16:E16">
    <cfRule type="cellIs" dxfId="1" priority="32" stopIfTrue="1" operator="equal">
      <formula>$F$2+$K$2</formula>
    </cfRule>
  </conditionalFormatting>
  <conditionalFormatting sqref="C16:E16">
    <cfRule type="cellIs" dxfId="2" priority="33" stopIfTrue="1" operator="greaterThan">
      <formula>$F$2+$K$2</formula>
    </cfRule>
  </conditionalFormatting>
  <conditionalFormatting sqref="C32:E32">
    <cfRule type="cellIs" dxfId="0" priority="34" stopIfTrue="1" operator="lessThan">
      <formula>$F$18+$K$18</formula>
    </cfRule>
  </conditionalFormatting>
  <conditionalFormatting sqref="C32:E32">
    <cfRule type="cellIs" dxfId="1" priority="35" stopIfTrue="1" operator="equal">
      <formula>$F$18+$K$18</formula>
    </cfRule>
  </conditionalFormatting>
  <conditionalFormatting sqref="C32:E32">
    <cfRule type="cellIs" dxfId="2" priority="36" stopIfTrue="1" operator="greaterThan">
      <formula>$F$18+$K$18</formula>
    </cfRule>
  </conditionalFormatting>
  <conditionalFormatting sqref="C48:E48">
    <cfRule type="cellIs" dxfId="0" priority="37" stopIfTrue="1" operator="lessThan">
      <formula>$F$34+$K$34</formula>
    </cfRule>
  </conditionalFormatting>
  <conditionalFormatting sqref="C48:E48">
    <cfRule type="cellIs" dxfId="1" priority="38" stopIfTrue="1" operator="equal">
      <formula>$F$34+$K$34</formula>
    </cfRule>
  </conditionalFormatting>
  <conditionalFormatting sqref="C48:E48">
    <cfRule type="cellIs" dxfId="2" priority="39" stopIfTrue="1" operator="greaterThan">
      <formula>$F$34+$K$34</formula>
    </cfRule>
  </conditionalFormatting>
  <conditionalFormatting sqref="C80:E80">
    <cfRule type="cellIs" dxfId="0" priority="40" stopIfTrue="1" operator="lessThan">
      <formula>$F$66+$K$66</formula>
    </cfRule>
  </conditionalFormatting>
  <conditionalFormatting sqref="C80:E80">
    <cfRule type="cellIs" dxfId="1" priority="41" stopIfTrue="1" operator="equal">
      <formula>$F$66+$K$66</formula>
    </cfRule>
  </conditionalFormatting>
  <conditionalFormatting sqref="C80:E80">
    <cfRule type="cellIs" dxfId="2" priority="42" stopIfTrue="1" operator="greaterThan">
      <formula>$F$66+$K$66</formula>
    </cfRule>
  </conditionalFormatting>
  <conditionalFormatting sqref="C96:E96">
    <cfRule type="cellIs" dxfId="0" priority="43" stopIfTrue="1" operator="lessThan">
      <formula>$F$82+$K$82</formula>
    </cfRule>
  </conditionalFormatting>
  <conditionalFormatting sqref="C96:E96">
    <cfRule type="cellIs" dxfId="1" priority="44" stopIfTrue="1" operator="equal">
      <formula>$F$82+$K$82</formula>
    </cfRule>
  </conditionalFormatting>
  <conditionalFormatting sqref="C96:E96">
    <cfRule type="cellIs" dxfId="2" priority="45" stopIfTrue="1" operator="greaterThan">
      <formula>$F$82+$K$82</formula>
    </cfRule>
  </conditionalFormatting>
  <conditionalFormatting sqref="C112:E112">
    <cfRule type="cellIs" dxfId="0" priority="46" stopIfTrue="1" operator="lessThan">
      <formula>$F$98+$K$98</formula>
    </cfRule>
  </conditionalFormatting>
  <conditionalFormatting sqref="C112:E112">
    <cfRule type="cellIs" dxfId="1" priority="47" stopIfTrue="1" operator="equal">
      <formula>$F$98+$K$98</formula>
    </cfRule>
  </conditionalFormatting>
  <conditionalFormatting sqref="C112:E112">
    <cfRule type="cellIs" dxfId="2" priority="48" stopIfTrue="1" operator="greaterThan">
      <formula>$F$98+$K$98</formula>
    </cfRule>
  </conditionalFormatting>
  <conditionalFormatting sqref="C128:S128">
    <cfRule type="cellIs" dxfId="0" priority="49" stopIfTrue="1" operator="lessThan">
      <formula>$F$114+$K$114</formula>
    </cfRule>
  </conditionalFormatting>
  <conditionalFormatting sqref="C128:S128">
    <cfRule type="cellIs" dxfId="1" priority="50" stopIfTrue="1" operator="equal">
      <formula>$F$114+$K$114</formula>
    </cfRule>
  </conditionalFormatting>
  <conditionalFormatting sqref="C128:S128">
    <cfRule type="cellIs" dxfId="2" priority="51" stopIfTrue="1" operator="greaterThan">
      <formula>$F$114+$K$114</formula>
    </cfRule>
  </conditionalFormatting>
  <conditionalFormatting sqref="C144:E144">
    <cfRule type="cellIs" dxfId="0" priority="52" stopIfTrue="1" operator="lessThan">
      <formula>$F$130+$K$130</formula>
    </cfRule>
  </conditionalFormatting>
  <conditionalFormatting sqref="C144:E144">
    <cfRule type="cellIs" dxfId="1" priority="53" stopIfTrue="1" operator="equal">
      <formula>$F$130+$K$130</formula>
    </cfRule>
  </conditionalFormatting>
  <conditionalFormatting sqref="C144:E144">
    <cfRule type="cellIs" dxfId="2" priority="54" stopIfTrue="1" operator="greaterThan">
      <formula>$F$130+$K$130</formula>
    </cfRule>
  </conditionalFormatting>
  <conditionalFormatting sqref="C160:E160">
    <cfRule type="cellIs" dxfId="0" priority="55" stopIfTrue="1" operator="lessThan">
      <formula>$F$146+$K$146</formula>
    </cfRule>
  </conditionalFormatting>
  <conditionalFormatting sqref="C160:E160">
    <cfRule type="cellIs" dxfId="1" priority="56" stopIfTrue="1" operator="equal">
      <formula>$F$146+$K$146</formula>
    </cfRule>
  </conditionalFormatting>
  <conditionalFormatting sqref="C160:E160">
    <cfRule type="cellIs" dxfId="2" priority="57" stopIfTrue="1" operator="greaterThan">
      <formula>$F$146+$K$146</formula>
    </cfRule>
  </conditionalFormatting>
  <conditionalFormatting sqref="C176:E176">
    <cfRule type="cellIs" dxfId="0" priority="58" stopIfTrue="1" operator="lessThan">
      <formula>$F$162+$K$162</formula>
    </cfRule>
  </conditionalFormatting>
  <conditionalFormatting sqref="C176:E176">
    <cfRule type="cellIs" dxfId="1" priority="59" stopIfTrue="1" operator="equal">
      <formula>$F$162+$K$162</formula>
    </cfRule>
  </conditionalFormatting>
  <conditionalFormatting sqref="C176:E176">
    <cfRule type="cellIs" dxfId="2" priority="60" stopIfTrue="1" operator="greaterThan">
      <formula>$F$162+$K$162</formula>
    </cfRule>
  </conditionalFormatting>
  <conditionalFormatting sqref="C192:E192">
    <cfRule type="cellIs" dxfId="0" priority="61" stopIfTrue="1" operator="lessThan">
      <formula>$F$178+$K$178</formula>
    </cfRule>
  </conditionalFormatting>
  <conditionalFormatting sqref="C192:E192">
    <cfRule type="cellIs" dxfId="1" priority="62" stopIfTrue="1" operator="equal">
      <formula>$F$178+$K$178</formula>
    </cfRule>
  </conditionalFormatting>
  <conditionalFormatting sqref="C192:E192">
    <cfRule type="cellIs" dxfId="2" priority="63" stopIfTrue="1" operator="greaterThan">
      <formula>$F$178+$K$178</formula>
    </cfRule>
  </conditionalFormatting>
  <conditionalFormatting sqref="N64">
    <cfRule type="cellIs" dxfId="0" priority="64" stopIfTrue="1" operator="lessThan">
      <formula>$F$66</formula>
    </cfRule>
  </conditionalFormatting>
  <conditionalFormatting sqref="N64">
    <cfRule type="cellIs" dxfId="1" priority="65" stopIfTrue="1" operator="equal">
      <formula>$F$66</formula>
    </cfRule>
  </conditionalFormatting>
  <conditionalFormatting sqref="N64">
    <cfRule type="cellIs" dxfId="2" priority="66" stopIfTrue="1" operator="greaterThan">
      <formula>$F$66</formula>
    </cfRule>
  </conditionalFormatting>
  <conditionalFormatting sqref="C64:E64">
    <cfRule type="cellIs" dxfId="0" priority="67" stopIfTrue="1" operator="lessThan">
      <formula>$F$66+$K$66</formula>
    </cfRule>
  </conditionalFormatting>
  <conditionalFormatting sqref="C64:E64">
    <cfRule type="cellIs" dxfId="1" priority="68" stopIfTrue="1" operator="equal">
      <formula>$F$66+$K$66</formula>
    </cfRule>
  </conditionalFormatting>
  <conditionalFormatting sqref="C64:E64">
    <cfRule type="cellIs" dxfId="2" priority="69" stopIfTrue="1" operator="greaterThan">
      <formula>$F$66+$K$66</formula>
    </cfRule>
  </conditionalFormatting>
  <conditionalFormatting sqref="U4:U5 U20 U36 U52 U68 U84 U100 U116 U132 U148 U164 U180">
    <cfRule type="cellIs" dxfId="1" priority="70" stopIfTrue="1" operator="between">
      <formula>$T4-$Z$3</formula>
      <formula>$T4+$Z$3</formula>
    </cfRule>
  </conditionalFormatting>
  <conditionalFormatting sqref="U4:U5 U20 U36 U52 U68 U84 U100 U116 U132 U148 U164 U180">
    <cfRule type="cellIs" dxfId="0" priority="71" stopIfTrue="1" operator="greaterThan">
      <formula>$T4+$Z$3</formula>
    </cfRule>
  </conditionalFormatting>
  <conditionalFormatting sqref="U4:U5 U20 U36 U52 U68 U84 U100 U116 U132 U148 U164 U180">
    <cfRule type="cellIs" dxfId="2" priority="72" stopIfTrue="1" operator="lessThan">
      <formula>$T4-$Z$3</formula>
    </cfRule>
  </conditionalFormatting>
  <conditionalFormatting sqref="U21 U37 U53 U69 U85 U101 U117 U133 U149 U165 U181">
    <cfRule type="cellIs" dxfId="1" priority="73" stopIfTrue="1" operator="between">
      <formula>$T21-$Z$4</formula>
      <formula>$T21+$Z$4</formula>
    </cfRule>
  </conditionalFormatting>
  <conditionalFormatting sqref="U21 U37 U53 U69 U85 U101 U117 U133 U149 U165 U181">
    <cfRule type="cellIs" dxfId="0" priority="74" stopIfTrue="1" operator="greaterThan">
      <formula>$T21+$Z$4</formula>
    </cfRule>
  </conditionalFormatting>
  <conditionalFormatting sqref="U21 U37 U53 U69 U85 U101 U117 U133 U149 U165 U181">
    <cfRule type="cellIs" dxfId="2" priority="75" stopIfTrue="1" operator="lessThan">
      <formula>$T21-$Z$4</formula>
    </cfRule>
  </conditionalFormatting>
  <conditionalFormatting sqref="U6 U22 U38 U54 U70 U86 U102 U118 U134 U150 U166 U182">
    <cfRule type="cellIs" dxfId="1" priority="76" stopIfTrue="1" operator="between">
      <formula>$T6-$Z$5</formula>
      <formula>$T6+$Z$5</formula>
    </cfRule>
  </conditionalFormatting>
  <conditionalFormatting sqref="U6 U22 U38 U54 U70 U86 U102 U118 U134 U150 U166 U182">
    <cfRule type="cellIs" dxfId="0" priority="77" stopIfTrue="1" operator="greaterThan">
      <formula>$T6+$Z$5</formula>
    </cfRule>
  </conditionalFormatting>
  <conditionalFormatting sqref="U6 U22 U38 U54 U70 U86 U102 U118 U134 U150 U166 U182">
    <cfRule type="cellIs" dxfId="2" priority="78" stopIfTrue="1" operator="lessThan">
      <formula>$T6-$Z$5</formula>
    </cfRule>
  </conditionalFormatting>
  <conditionalFormatting sqref="U7 U23 U39 U55 U71 U87 U103 U119 U135 U151 U167 U183">
    <cfRule type="cellIs" dxfId="1" priority="79" stopIfTrue="1" operator="between">
      <formula>$T7-$Z$6</formula>
      <formula>$T7+$Z$6</formula>
    </cfRule>
  </conditionalFormatting>
  <conditionalFormatting sqref="U7 U23 U39 U55 U71 U87 U103 U119 U135 U151 U167 U183">
    <cfRule type="cellIs" dxfId="0" priority="80" stopIfTrue="1" operator="greaterThan">
      <formula>$T7+$Z$6</formula>
    </cfRule>
  </conditionalFormatting>
  <conditionalFormatting sqref="U7 U23 U39 U55 U71 U87 U103 U119 U135 U151 U167 U183">
    <cfRule type="cellIs" dxfId="2" priority="81" stopIfTrue="1" operator="lessThan">
      <formula>$T7-$Z$6</formula>
    </cfRule>
  </conditionalFormatting>
  <conditionalFormatting sqref="U8 U24 U40 U56 U72 U88 U104 U120 U136 U152 U168 U184">
    <cfRule type="cellIs" dxfId="1" priority="82" stopIfTrue="1" operator="between">
      <formula>$T8-$Z$7</formula>
      <formula>$T8+$Z$7</formula>
    </cfRule>
  </conditionalFormatting>
  <conditionalFormatting sqref="U8 U24 U40 U56 U72 U88 U104 U120 U136 U152 U168 U184">
    <cfRule type="cellIs" dxfId="0" priority="83" stopIfTrue="1" operator="greaterThan">
      <formula>$T8+$Z$7</formula>
    </cfRule>
  </conditionalFormatting>
  <conditionalFormatting sqref="U8 U24 U40 U56 U72 U88 U104 U120 U136 U152 U168 U184">
    <cfRule type="cellIs" dxfId="2" priority="84" stopIfTrue="1" operator="lessThan">
      <formula>$T8-$Z$7</formula>
    </cfRule>
  </conditionalFormatting>
  <conditionalFormatting sqref="U9:U10 U25:U26 U41:U42 U57:U58 U73:U74 U89:U90 U105:U106 U121:U122 U137:U138 U153:U154 U169:U170 U185:U186">
    <cfRule type="cellIs" dxfId="1" priority="85" stopIfTrue="1" operator="between">
      <formula>$T9-$Z$8</formula>
      <formula>$T9+$Z$8</formula>
    </cfRule>
  </conditionalFormatting>
  <conditionalFormatting sqref="U9:U10 U25:U26 U41:U42 U57:U58 U73:U74 U89:U90 U105:U106 U121:U122 U137:U138 U153:U154 U169:U170 U185:U186">
    <cfRule type="cellIs" dxfId="0" priority="86" stopIfTrue="1" operator="greaterThan">
      <formula>$T9+$Z$8</formula>
    </cfRule>
  </conditionalFormatting>
  <conditionalFormatting sqref="U9:U10 U25:U26 U41:U42 U57:U58 U73:U74 U89:U90 U105:U106 U121:U122 U137:U138 U153:U154 U169:U170 U185:U186">
    <cfRule type="cellIs" dxfId="2" priority="87" stopIfTrue="1" operator="lessThan">
      <formula>$T9-$Z$8</formula>
    </cfRule>
  </conditionalFormatting>
  <conditionalFormatting sqref="U11:U12 U27:U28 U43:U44 U59:U60 U75:U76 U91:U92 U107:U108 U123:U124 U139:U140 U155:U156 U171:U172 U187:U188">
    <cfRule type="cellIs" dxfId="1" priority="88" stopIfTrue="1" operator="between">
      <formula>$T11-$Z$10</formula>
      <formula>$T11+$Z$10</formula>
    </cfRule>
  </conditionalFormatting>
  <conditionalFormatting sqref="U11:U12 U27:U28 U43:U44 U59:U60 U75:U76 U91:U92 U107:U108 U123:U124 U139:U140 U155:U156 U171:U172 U187:U188">
    <cfRule type="cellIs" dxfId="0" priority="89" stopIfTrue="1" operator="greaterThan">
      <formula>$T11+$Z$10</formula>
    </cfRule>
  </conditionalFormatting>
  <conditionalFormatting sqref="U11:U12 U27:U28 U43:U44 U59:U60 U75:U76 U91:U92 U107:U108 U123:U124 U139:U140 U155:U156 U171:U172 U187:U188">
    <cfRule type="cellIs" dxfId="2" priority="90" stopIfTrue="1" operator="lessThan">
      <formula>$T11-$Z$10</formula>
    </cfRule>
  </conditionalFormatting>
  <conditionalFormatting sqref="U13:U15 U29:U31 U45:U47 U61:U63 U77:U79 U93:U95 U109:U111 U125:U127 U141:U143 U157:U159 U173:U175 U189:U191">
    <cfRule type="cellIs" dxfId="1" priority="91" stopIfTrue="1" operator="between">
      <formula>$T13-$Z$11</formula>
      <formula>$T13+$Z$11</formula>
    </cfRule>
  </conditionalFormatting>
  <conditionalFormatting sqref="U13:U15 U29:U31 U45:U47 U61:U63 U77:U79 U93:U95 U109:U111 U125:U127 U141:U143 U157:U159 U173:U175 U189:U191">
    <cfRule type="cellIs" dxfId="0" priority="92" stopIfTrue="1" operator="greaterThan">
      <formula>$T13+$Z$11</formula>
    </cfRule>
  </conditionalFormatting>
  <conditionalFormatting sqref="U13:U15 U29:U31 U45:U47 U61:U63 U77:U79 U93:U95 U109:U111 U125:U127 U141:U143 U157:U159 U173:U175 U189:U191">
    <cfRule type="cellIs" dxfId="2" priority="93" stopIfTrue="1" operator="lessThan">
      <formula>$T13-$Z$11</formula>
    </cfRule>
  </conditionalFormatting>
  <printOptions gridLines="1" horizontalCentered="1"/>
  <pageMargins bottom="0.984251968503937" footer="0.0" header="0.0" left="0.7874015748031497" right="0.7874015748031497" top="0.984251968503937"/>
  <pageSetup paperSize="9" orientation="landscape"/>
  <headerFooter>
    <oddHeader/>
    <oddFooter>&amp;LDaimler AG Werksärztlicher Dienst Rastatt PER/HSW &amp;CErstellt am:07.10.2010 von: Manfred Velten &amp;RVerantwortlich: Dr.Frei Druckdatum: &amp;D</oddFooter>
  </headerFooter>
  <rowBreaks count="3" manualBreakCount="3">
    <brk id="48" man="1"/>
    <brk id="96" man="1"/>
    <brk id="144" man="1"/>
  </rowBreaks>
  <drawing r:id="rId1"/>
</worksheet>
</file>